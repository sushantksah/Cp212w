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sha\Documents\CP212 Labs &amp; Assns\"/>
    </mc:Choice>
  </mc:AlternateContent>
  <xr:revisionPtr revIDLastSave="0" documentId="13_ncr:1_{660110B0-610C-43A0-9FFE-9B2845551704}" xr6:coauthVersionLast="47" xr6:coauthVersionMax="47" xr10:uidLastSave="{00000000-0000-0000-0000-000000000000}"/>
  <bookViews>
    <workbookView xWindow="14295" yWindow="0" windowWidth="14610" windowHeight="15585" activeTab="1" xr2:uid="{93D367FF-5829-4D28-8F70-A278561A7C2C}"/>
  </bookViews>
  <sheets>
    <sheet name="Introduction" sheetId="2" r:id="rId1"/>
    <sheet name="Results" sheetId="1" r:id="rId2"/>
    <sheet name="Histogram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06" i="1" l="1"/>
  <c r="A390" i="1"/>
  <c r="A374" i="1"/>
  <c r="A358" i="1"/>
  <c r="A342" i="1"/>
  <c r="A326" i="1"/>
  <c r="A310" i="1"/>
  <c r="A294" i="1"/>
  <c r="A278" i="1"/>
  <c r="A262" i="1"/>
  <c r="A246" i="1"/>
  <c r="A230" i="1"/>
  <c r="A214" i="1"/>
  <c r="A198" i="1"/>
  <c r="A182" i="1"/>
  <c r="A166" i="1"/>
  <c r="A150" i="1"/>
  <c r="A134" i="1"/>
  <c r="A118" i="1"/>
  <c r="A102" i="1"/>
  <c r="A86" i="1"/>
  <c r="A70" i="1"/>
  <c r="A54" i="1"/>
  <c r="A38" i="1"/>
  <c r="A22" i="1"/>
  <c r="A405" i="1"/>
  <c r="A389" i="1"/>
  <c r="A373" i="1"/>
  <c r="A357" i="1"/>
  <c r="A341" i="1"/>
  <c r="A325" i="1"/>
  <c r="A309" i="1"/>
  <c r="A293" i="1"/>
  <c r="A277" i="1"/>
  <c r="A261" i="1"/>
  <c r="A245" i="1"/>
  <c r="A229" i="1"/>
  <c r="A213" i="1"/>
  <c r="A197" i="1"/>
  <c r="A181" i="1"/>
  <c r="A165" i="1"/>
  <c r="A149" i="1"/>
  <c r="A133" i="1"/>
  <c r="A117" i="1"/>
  <c r="A101" i="1"/>
  <c r="A85" i="1"/>
  <c r="A69" i="1"/>
  <c r="A53" i="1"/>
  <c r="A37" i="1"/>
  <c r="A21" i="1"/>
  <c r="A402" i="1"/>
  <c r="A354" i="1"/>
  <c r="A322" i="1"/>
  <c r="A290" i="1"/>
  <c r="A258" i="1"/>
  <c r="A226" i="1"/>
  <c r="A194" i="1"/>
  <c r="A162" i="1"/>
  <c r="A130" i="1"/>
  <c r="A98" i="1"/>
  <c r="A66" i="1"/>
  <c r="A34" i="1"/>
  <c r="A385" i="1"/>
  <c r="A353" i="1"/>
  <c r="A321" i="1"/>
  <c r="A305" i="1"/>
  <c r="A273" i="1"/>
  <c r="A241" i="1"/>
  <c r="A209" i="1"/>
  <c r="A161" i="1"/>
  <c r="A129" i="1"/>
  <c r="A97" i="1"/>
  <c r="A65" i="1"/>
  <c r="A49" i="1"/>
  <c r="A17" i="1"/>
  <c r="A79" i="1"/>
  <c r="A15" i="1"/>
  <c r="A366" i="1"/>
  <c r="A334" i="1"/>
  <c r="A286" i="1"/>
  <c r="A222" i="1"/>
  <c r="A158" i="1"/>
  <c r="A110" i="1"/>
  <c r="A46" i="1"/>
  <c r="A397" i="1"/>
  <c r="A317" i="1"/>
  <c r="A173" i="1"/>
  <c r="A93" i="1"/>
  <c r="A13" i="1"/>
  <c r="A364" i="1"/>
  <c r="A300" i="1"/>
  <c r="A236" i="1"/>
  <c r="A156" i="1"/>
  <c r="A92" i="1"/>
  <c r="A28" i="1"/>
  <c r="A347" i="1"/>
  <c r="A315" i="1"/>
  <c r="A251" i="1"/>
  <c r="A187" i="1"/>
  <c r="A107" i="1"/>
  <c r="A43" i="1"/>
  <c r="A394" i="1"/>
  <c r="A314" i="1"/>
  <c r="A250" i="1"/>
  <c r="A186" i="1"/>
  <c r="A106" i="1"/>
  <c r="A42" i="1"/>
  <c r="A393" i="1"/>
  <c r="A329" i="1"/>
  <c r="A265" i="1"/>
  <c r="A201" i="1"/>
  <c r="A137" i="1"/>
  <c r="A89" i="1"/>
  <c r="A41" i="1"/>
  <c r="A376" i="1"/>
  <c r="A328" i="1"/>
  <c r="A264" i="1"/>
  <c r="A200" i="1"/>
  <c r="A168" i="1"/>
  <c r="A104" i="1"/>
  <c r="A40" i="1"/>
  <c r="A375" i="1"/>
  <c r="A279" i="1"/>
  <c r="A215" i="1"/>
  <c r="A151" i="1"/>
  <c r="A71" i="1"/>
  <c r="A7" i="1"/>
  <c r="A18" i="1"/>
  <c r="A350" i="1"/>
  <c r="A270" i="1"/>
  <c r="A190" i="1"/>
  <c r="A94" i="1"/>
  <c r="A30" i="1"/>
  <c r="A349" i="1"/>
  <c r="A301" i="1"/>
  <c r="A285" i="1"/>
  <c r="A269" i="1"/>
  <c r="A253" i="1"/>
  <c r="A237" i="1"/>
  <c r="A221" i="1"/>
  <c r="A157" i="1"/>
  <c r="A141" i="1"/>
  <c r="A125" i="1"/>
  <c r="A61" i="1"/>
  <c r="A45" i="1"/>
  <c r="A396" i="1"/>
  <c r="A284" i="1"/>
  <c r="A204" i="1"/>
  <c r="A124" i="1"/>
  <c r="A44" i="1"/>
  <c r="A395" i="1"/>
  <c r="A299" i="1"/>
  <c r="A235" i="1"/>
  <c r="A171" i="1"/>
  <c r="A123" i="1"/>
  <c r="A59" i="1"/>
  <c r="A11" i="1"/>
  <c r="A362" i="1"/>
  <c r="A282" i="1"/>
  <c r="A234" i="1"/>
  <c r="A170" i="1"/>
  <c r="A122" i="1"/>
  <c r="A74" i="1"/>
  <c r="A26" i="1"/>
  <c r="A361" i="1"/>
  <c r="A281" i="1"/>
  <c r="A217" i="1"/>
  <c r="A169" i="1"/>
  <c r="A121" i="1"/>
  <c r="A57" i="1"/>
  <c r="A392" i="1"/>
  <c r="A296" i="1"/>
  <c r="A216" i="1"/>
  <c r="A152" i="1"/>
  <c r="A72" i="1"/>
  <c r="A391" i="1"/>
  <c r="A327" i="1"/>
  <c r="A263" i="1"/>
  <c r="A199" i="1"/>
  <c r="A135" i="1"/>
  <c r="A87" i="1"/>
  <c r="A23" i="1"/>
  <c r="A404" i="1"/>
  <c r="A388" i="1"/>
  <c r="A372" i="1"/>
  <c r="A356" i="1"/>
  <c r="A340" i="1"/>
  <c r="A324" i="1"/>
  <c r="A308" i="1"/>
  <c r="A292" i="1"/>
  <c r="A276" i="1"/>
  <c r="A260" i="1"/>
  <c r="A244" i="1"/>
  <c r="A228" i="1"/>
  <c r="A212" i="1"/>
  <c r="A196" i="1"/>
  <c r="A180" i="1"/>
  <c r="A164" i="1"/>
  <c r="A148" i="1"/>
  <c r="A132" i="1"/>
  <c r="A116" i="1"/>
  <c r="A100" i="1"/>
  <c r="A84" i="1"/>
  <c r="A68" i="1"/>
  <c r="A52" i="1"/>
  <c r="A36" i="1"/>
  <c r="A20" i="1"/>
  <c r="A403" i="1"/>
  <c r="A387" i="1"/>
  <c r="A371" i="1"/>
  <c r="A355" i="1"/>
  <c r="A339" i="1"/>
  <c r="A323" i="1"/>
  <c r="A307" i="1"/>
  <c r="A291" i="1"/>
  <c r="A275" i="1"/>
  <c r="A259" i="1"/>
  <c r="A243" i="1"/>
  <c r="A227" i="1"/>
  <c r="A211" i="1"/>
  <c r="A195" i="1"/>
  <c r="A179" i="1"/>
  <c r="A163" i="1"/>
  <c r="A147" i="1"/>
  <c r="A131" i="1"/>
  <c r="A115" i="1"/>
  <c r="A99" i="1"/>
  <c r="A83" i="1"/>
  <c r="A67" i="1"/>
  <c r="A51" i="1"/>
  <c r="A35" i="1"/>
  <c r="A19" i="1"/>
  <c r="A386" i="1"/>
  <c r="A370" i="1"/>
  <c r="A338" i="1"/>
  <c r="A306" i="1"/>
  <c r="A274" i="1"/>
  <c r="A242" i="1"/>
  <c r="A210" i="1"/>
  <c r="A178" i="1"/>
  <c r="A146" i="1"/>
  <c r="A114" i="1"/>
  <c r="A82" i="1"/>
  <c r="A50" i="1"/>
  <c r="A401" i="1"/>
  <c r="A369" i="1"/>
  <c r="A337" i="1"/>
  <c r="A289" i="1"/>
  <c r="A257" i="1"/>
  <c r="A225" i="1"/>
  <c r="A193" i="1"/>
  <c r="A177" i="1"/>
  <c r="A145" i="1"/>
  <c r="A113" i="1"/>
  <c r="A81" i="1"/>
  <c r="A33" i="1"/>
  <c r="A111" i="1"/>
  <c r="A47" i="1"/>
  <c r="A398" i="1"/>
  <c r="A318" i="1"/>
  <c r="A254" i="1"/>
  <c r="A206" i="1"/>
  <c r="A142" i="1"/>
  <c r="A78" i="1"/>
  <c r="A14" i="1"/>
  <c r="A365" i="1"/>
  <c r="A333" i="1"/>
  <c r="A205" i="1"/>
  <c r="A77" i="1"/>
  <c r="A380" i="1"/>
  <c r="A332" i="1"/>
  <c r="A268" i="1"/>
  <c r="A220" i="1"/>
  <c r="A172" i="1"/>
  <c r="A108" i="1"/>
  <c r="A60" i="1"/>
  <c r="A12" i="1"/>
  <c r="A363" i="1"/>
  <c r="A283" i="1"/>
  <c r="A219" i="1"/>
  <c r="A139" i="1"/>
  <c r="A75" i="1"/>
  <c r="A378" i="1"/>
  <c r="A330" i="1"/>
  <c r="A266" i="1"/>
  <c r="A202" i="1"/>
  <c r="A138" i="1"/>
  <c r="A58" i="1"/>
  <c r="A377" i="1"/>
  <c r="A297" i="1"/>
  <c r="A233" i="1"/>
  <c r="A153" i="1"/>
  <c r="A73" i="1"/>
  <c r="A9" i="1"/>
  <c r="A360" i="1"/>
  <c r="A312" i="1"/>
  <c r="A248" i="1"/>
  <c r="A184" i="1"/>
  <c r="A120" i="1"/>
  <c r="A56" i="1"/>
  <c r="A8" i="1"/>
  <c r="A343" i="1"/>
  <c r="A311" i="1"/>
  <c r="A247" i="1"/>
  <c r="A167" i="1"/>
  <c r="A103" i="1"/>
  <c r="A55" i="1"/>
  <c r="A400" i="1"/>
  <c r="A384" i="1"/>
  <c r="A368" i="1"/>
  <c r="A352" i="1"/>
  <c r="A336" i="1"/>
  <c r="A320" i="1"/>
  <c r="A304" i="1"/>
  <c r="A288" i="1"/>
  <c r="A272" i="1"/>
  <c r="A256" i="1"/>
  <c r="A240" i="1"/>
  <c r="A224" i="1"/>
  <c r="A208" i="1"/>
  <c r="A192" i="1"/>
  <c r="A176" i="1"/>
  <c r="A160" i="1"/>
  <c r="A144" i="1"/>
  <c r="A128" i="1"/>
  <c r="A112" i="1"/>
  <c r="A96" i="1"/>
  <c r="A80" i="1"/>
  <c r="A64" i="1"/>
  <c r="A48" i="1"/>
  <c r="A32" i="1"/>
  <c r="A16" i="1"/>
  <c r="A399" i="1"/>
  <c r="A383" i="1"/>
  <c r="A367" i="1"/>
  <c r="A351" i="1"/>
  <c r="A335" i="1"/>
  <c r="A319" i="1"/>
  <c r="A303" i="1"/>
  <c r="A287" i="1"/>
  <c r="A271" i="1"/>
  <c r="A255" i="1"/>
  <c r="A239" i="1"/>
  <c r="A223" i="1"/>
  <c r="A207" i="1"/>
  <c r="A191" i="1"/>
  <c r="A175" i="1"/>
  <c r="A159" i="1"/>
  <c r="A143" i="1"/>
  <c r="A127" i="1"/>
  <c r="A95" i="1"/>
  <c r="A63" i="1"/>
  <c r="A31" i="1"/>
  <c r="A382" i="1"/>
  <c r="A302" i="1"/>
  <c r="A238" i="1"/>
  <c r="A174" i="1"/>
  <c r="A126" i="1"/>
  <c r="A62" i="1"/>
  <c r="A381" i="1"/>
  <c r="A189" i="1"/>
  <c r="A109" i="1"/>
  <c r="A29" i="1"/>
  <c r="A348" i="1"/>
  <c r="A316" i="1"/>
  <c r="A252" i="1"/>
  <c r="A188" i="1"/>
  <c r="A140" i="1"/>
  <c r="A76" i="1"/>
  <c r="A379" i="1"/>
  <c r="A331" i="1"/>
  <c r="A267" i="1"/>
  <c r="A203" i="1"/>
  <c r="A155" i="1"/>
  <c r="A91" i="1"/>
  <c r="A27" i="1"/>
  <c r="A346" i="1"/>
  <c r="A298" i="1"/>
  <c r="A218" i="1"/>
  <c r="A154" i="1"/>
  <c r="A90" i="1"/>
  <c r="A10" i="1"/>
  <c r="A345" i="1"/>
  <c r="A313" i="1"/>
  <c r="A249" i="1"/>
  <c r="A185" i="1"/>
  <c r="A105" i="1"/>
  <c r="A25" i="1"/>
  <c r="A344" i="1"/>
  <c r="A280" i="1"/>
  <c r="A232" i="1"/>
  <c r="A136" i="1"/>
  <c r="A88" i="1"/>
  <c r="A24" i="1"/>
  <c r="A359" i="1"/>
  <c r="A295" i="1"/>
  <c r="A231" i="1"/>
  <c r="A183" i="1"/>
  <c r="A119" i="1"/>
  <c r="A39" i="1"/>
  <c r="B6" i="3" l="1"/>
  <c r="B4" i="3"/>
  <c r="B5" i="3"/>
  <c r="B8" i="3"/>
  <c r="B10" i="3"/>
  <c r="B7" i="3"/>
  <c r="B3" i="3"/>
  <c r="B2" i="3"/>
  <c r="B9" i="3"/>
  <c r="B11" i="3"/>
</calcChain>
</file>

<file path=xl/sharedStrings.xml><?xml version="1.0" encoding="utf-8"?>
<sst xmlns="http://schemas.openxmlformats.org/spreadsheetml/2006/main" count="7" uniqueCount="7">
  <si>
    <t>Function Parameters:</t>
  </si>
  <si>
    <t>Minimum (a):</t>
  </si>
  <si>
    <t>Most Likely (b):</t>
  </si>
  <si>
    <t>Maximum (c):</t>
  </si>
  <si>
    <t>Upper Bound</t>
  </si>
  <si>
    <t xml:space="preserve">Frequency </t>
  </si>
  <si>
    <t xml:space="preserve">Total # of Values: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</si>
</sst>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96000"/>
              </a:schemeClr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  <a:effectLst>
              <a:outerShdw blurRad="50800" dist="50800" dir="5400000" algn="ctr" rotWithShape="0">
                <a:schemeClr val="bg2"/>
              </a:outerShdw>
            </a:effectLst>
          </c:spPr>
          <c:invertIfNegative val="0"/>
          <c:cat>
            <c:numRef>
              <c:f>Histogram!$A$2:$A$11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11</c:v>
                </c:pt>
                <c:pt idx="7">
                  <c:v>24</c:v>
                </c:pt>
                <c:pt idx="8">
                  <c:v>22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9-44BD-8CEC-662278210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9182592"/>
        <c:axId val="1249183072"/>
      </c:barChart>
      <c:catAx>
        <c:axId val="124918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183072"/>
        <c:crosses val="autoZero"/>
        <c:auto val="1"/>
        <c:lblAlgn val="ctr"/>
        <c:lblOffset val="100"/>
        <c:noMultiLvlLbl val="0"/>
      </c:catAx>
      <c:valAx>
        <c:axId val="1249183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>
              <a:innerShdw blurRad="63500" dist="50800" dir="10800000">
                <a:prstClr val="black">
                  <a:alpha val="50000"/>
                </a:prstClr>
              </a:innerShdw>
            </a:effectLst>
          </c:spPr>
        </c:majorGridlines>
        <c:numFmt formatCode="General" sourceLinked="1"/>
        <c:majorTickMark val="none"/>
        <c:minorTickMark val="none"/>
        <c:tickLblPos val="nextTo"/>
        <c:crossAx val="124918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9524</xdr:rowOff>
    </xdr:from>
    <xdr:to>
      <xdr:col>6</xdr:col>
      <xdr:colOff>9525</xdr:colOff>
      <xdr:row>20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49D90E-3825-42FA-8B89-4FD2A3D051F5}"/>
            </a:ext>
          </a:extLst>
        </xdr:cNvPr>
        <xdr:cNvSpPr txBox="1"/>
      </xdr:nvSpPr>
      <xdr:spPr>
        <a:xfrm>
          <a:off x="847725" y="771524"/>
          <a:ext cx="3295650" cy="3143251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300" b="1">
              <a:solidFill>
                <a:schemeClr val="accent6"/>
              </a:solidFill>
            </a:rPr>
            <a:t>Introduction</a:t>
          </a:r>
        </a:p>
        <a:p>
          <a:pPr algn="ctr"/>
          <a:endParaRPr lang="en-CA" sz="1100">
            <a:solidFill>
              <a:schemeClr val="tx1"/>
            </a:solidFill>
          </a:endParaRPr>
        </a:p>
        <a:p>
          <a:pPr algn="ctr"/>
          <a:r>
            <a:rPr lang="en-CA" sz="1100" baseline="0">
              <a:solidFill>
                <a:schemeClr val="tx1"/>
              </a:solidFill>
            </a:rPr>
            <a:t>The </a:t>
          </a:r>
          <a:r>
            <a:rPr lang="en-CA" sz="1100" b="1" baseline="0">
              <a:solidFill>
                <a:schemeClr val="tx1"/>
              </a:solidFill>
            </a:rPr>
            <a:t>Triangular Distribution </a:t>
          </a:r>
          <a:r>
            <a:rPr lang="en-CA" sz="1100" b="0" baseline="0">
              <a:solidFill>
                <a:schemeClr val="tx1"/>
              </a:solidFill>
            </a:rPr>
            <a:t>is a probability distribution that is commonly used in business simulations. As it's name suggests, it is literally shaped like a triangle. </a:t>
          </a:r>
        </a:p>
        <a:p>
          <a:pPr algn="ctr"/>
          <a:endParaRPr lang="en-CA" sz="1100" b="0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There are </a:t>
          </a:r>
          <a:r>
            <a:rPr lang="en-CA" sz="1100" b="1" baseline="0">
              <a:solidFill>
                <a:schemeClr val="tx1"/>
              </a:solidFill>
            </a:rPr>
            <a:t>three paramaters </a:t>
          </a:r>
          <a:r>
            <a:rPr lang="en-CA" sz="1100" b="0" baseline="0">
              <a:solidFill>
                <a:schemeClr val="tx1"/>
              </a:solidFill>
            </a:rPr>
            <a:t>taken into account when utilizing this distribution, which are the </a:t>
          </a:r>
          <a:r>
            <a:rPr lang="en-CA" sz="1100" b="1" baseline="0">
              <a:solidFill>
                <a:schemeClr val="tx1"/>
              </a:solidFill>
            </a:rPr>
            <a:t>minimum/maximum</a:t>
          </a:r>
          <a:r>
            <a:rPr lang="en-CA" sz="1100" b="0" baseline="0">
              <a:solidFill>
                <a:schemeClr val="tx1"/>
              </a:solidFill>
            </a:rPr>
            <a:t> value of the data, and the </a:t>
          </a:r>
          <a:r>
            <a:rPr lang="en-CA" sz="1100" b="1" baseline="0">
              <a:solidFill>
                <a:schemeClr val="tx1"/>
              </a:solidFill>
            </a:rPr>
            <a:t>most likely value </a:t>
          </a:r>
          <a:r>
            <a:rPr lang="en-CA" sz="1100" b="0" baseline="0">
              <a:solidFill>
                <a:schemeClr val="tx1"/>
              </a:solidFill>
            </a:rPr>
            <a:t>(high point of the triangle)</a:t>
          </a:r>
          <a:r>
            <a:rPr lang="en-CA" sz="1100" b="1" baseline="0">
              <a:solidFill>
                <a:schemeClr val="tx1"/>
              </a:solidFill>
            </a:rPr>
            <a:t>.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The following program simulates this calculation using inputs given by the user through a </a:t>
          </a:r>
          <a:r>
            <a:rPr lang="en-CA" sz="1100" b="1" baseline="0">
              <a:solidFill>
                <a:schemeClr val="tx1"/>
              </a:solidFill>
            </a:rPr>
            <a:t>UserForm</a:t>
          </a:r>
          <a:r>
            <a:rPr lang="en-CA" sz="1100" b="0" baseline="0">
              <a:solidFill>
                <a:schemeClr val="tx1"/>
              </a:solidFill>
            </a:rPr>
            <a:t> that will ask for the afromentioned three paramaters. </a:t>
          </a:r>
        </a:p>
        <a:p>
          <a:pPr algn="ctr"/>
          <a:endParaRPr lang="en-CA" sz="1100" b="0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Please Navigate to the sheet named </a:t>
          </a:r>
          <a:r>
            <a:rPr lang="en-CA" sz="1100" b="1" baseline="0">
              <a:solidFill>
                <a:schemeClr val="tx1"/>
              </a:solidFill>
            </a:rPr>
            <a:t>"Results" </a:t>
          </a:r>
          <a:r>
            <a:rPr lang="en-CA" sz="1100" b="0" baseline="0">
              <a:solidFill>
                <a:schemeClr val="tx1"/>
              </a:solidFill>
            </a:rPr>
            <a:t>for more on how to use this program.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180975</xdr:rowOff>
    </xdr:from>
    <xdr:to>
      <xdr:col>7</xdr:col>
      <xdr:colOff>600075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217C2E-A32B-4673-9513-60860269A003}"/>
            </a:ext>
          </a:extLst>
        </xdr:cNvPr>
        <xdr:cNvSpPr txBox="1"/>
      </xdr:nvSpPr>
      <xdr:spPr>
        <a:xfrm>
          <a:off x="2428875" y="800100"/>
          <a:ext cx="3019425" cy="32480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CA" sz="1100">
              <a:solidFill>
                <a:schemeClr val="tx1"/>
              </a:solidFill>
            </a:rPr>
            <a:t>	</a:t>
          </a:r>
          <a:r>
            <a:rPr lang="en-CA" sz="1100" b="1">
              <a:solidFill>
                <a:schemeClr val="tx1"/>
              </a:solidFill>
            </a:rPr>
            <a:t>     </a:t>
          </a:r>
          <a:r>
            <a:rPr lang="en-CA" sz="1300" b="1">
              <a:solidFill>
                <a:schemeClr val="accent6"/>
              </a:solidFill>
            </a:rPr>
            <a:t>Instructions</a:t>
          </a:r>
        </a:p>
        <a:p>
          <a:endParaRPr lang="en-CA" sz="110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To begin, press the button below labelled </a:t>
          </a:r>
          <a:r>
            <a:rPr lang="en-CA" sz="1100" b="1" baseline="0">
              <a:solidFill>
                <a:schemeClr val="tx1"/>
              </a:solidFill>
            </a:rPr>
            <a:t>"Triangular Distribution Paramaters"</a:t>
          </a:r>
          <a:r>
            <a:rPr lang="en-CA" sz="1100" b="0" baseline="0">
              <a:solidFill>
                <a:schemeClr val="tx1"/>
              </a:solidFill>
            </a:rPr>
            <a:t>.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Doing so will promt up a </a:t>
          </a:r>
          <a:r>
            <a:rPr lang="en-CA" sz="1100" b="1" baseline="0">
              <a:solidFill>
                <a:schemeClr val="tx1"/>
              </a:solidFill>
            </a:rPr>
            <a:t>UserForm</a:t>
          </a:r>
          <a:r>
            <a:rPr lang="en-CA" sz="1100" b="0" baseline="0">
              <a:solidFill>
                <a:schemeClr val="tx1"/>
              </a:solidFill>
            </a:rPr>
            <a:t> in which the </a:t>
          </a:r>
          <a:r>
            <a:rPr lang="en-CA" sz="1100" b="1" baseline="0">
              <a:solidFill>
                <a:schemeClr val="tx1"/>
              </a:solidFill>
            </a:rPr>
            <a:t>user will be asked to input </a:t>
          </a:r>
          <a:r>
            <a:rPr lang="en-CA" sz="1100" b="0" baseline="0">
              <a:solidFill>
                <a:schemeClr val="tx1"/>
              </a:solidFill>
            </a:rPr>
            <a:t>the three parameters discussed earlier. </a:t>
          </a:r>
        </a:p>
        <a:p>
          <a:pPr algn="ctr"/>
          <a:endParaRPr lang="en-CA" sz="1100" b="0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After entering, the user has the option to either </a:t>
          </a:r>
          <a:r>
            <a:rPr lang="en-CA" sz="1100" b="1" baseline="0">
              <a:solidFill>
                <a:schemeClr val="tx1"/>
              </a:solidFill>
            </a:rPr>
            <a:t>submit</a:t>
          </a:r>
          <a:r>
            <a:rPr lang="en-CA" sz="1100" b="0" baseline="0">
              <a:solidFill>
                <a:schemeClr val="tx1"/>
              </a:solidFill>
            </a:rPr>
            <a:t> the data inputted or to </a:t>
          </a:r>
          <a:r>
            <a:rPr lang="en-CA" sz="1100" b="1" baseline="0">
              <a:solidFill>
                <a:schemeClr val="tx1"/>
              </a:solidFill>
            </a:rPr>
            <a:t>cancel. </a:t>
          </a:r>
        </a:p>
        <a:p>
          <a:pPr algn="ctr"/>
          <a:endParaRPr lang="en-CA" sz="1100" b="0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If </a:t>
          </a:r>
          <a:r>
            <a:rPr lang="en-CA" sz="1100" b="1" baseline="0">
              <a:solidFill>
                <a:schemeClr val="tx1"/>
              </a:solidFill>
            </a:rPr>
            <a:t>submitted</a:t>
          </a:r>
          <a:r>
            <a:rPr lang="en-CA" sz="1100" b="0" baseline="0">
              <a:solidFill>
                <a:schemeClr val="tx1"/>
              </a:solidFill>
            </a:rPr>
            <a:t>, the distribution will then display from row </a:t>
          </a:r>
          <a:r>
            <a:rPr lang="en-CA" sz="1100" b="1" baseline="0">
              <a:solidFill>
                <a:schemeClr val="tx1"/>
              </a:solidFill>
            </a:rPr>
            <a:t>A7 </a:t>
          </a:r>
          <a:r>
            <a:rPr lang="en-CA" sz="1100" b="0" baseline="0">
              <a:solidFill>
                <a:schemeClr val="tx1"/>
              </a:solidFill>
            </a:rPr>
            <a:t>and onwards, and the data inputted will show at the top of the screen in cells </a:t>
          </a:r>
          <a:r>
            <a:rPr lang="en-CA" sz="1100" b="1" baseline="0">
              <a:solidFill>
                <a:schemeClr val="tx1"/>
              </a:solidFill>
            </a:rPr>
            <a:t>B2:B4</a:t>
          </a:r>
          <a:r>
            <a:rPr lang="en-CA" sz="1100" b="0" baseline="0">
              <a:solidFill>
                <a:schemeClr val="tx1"/>
              </a:solidFill>
            </a:rPr>
            <a:t>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9525</xdr:rowOff>
        </xdr:from>
        <xdr:to>
          <xdr:col>7</xdr:col>
          <xdr:colOff>0</xdr:colOff>
          <xdr:row>26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Triangular Distribution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</xdr:colOff>
      <xdr:row>27</xdr:row>
      <xdr:rowOff>0</xdr:rowOff>
    </xdr:from>
    <xdr:to>
      <xdr:col>7</xdr:col>
      <xdr:colOff>600075</xdr:colOff>
      <xdr:row>31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1EA1F00-0D14-4EB9-9D1C-FDFEF5E3B0D2}"/>
            </a:ext>
          </a:extLst>
        </xdr:cNvPr>
        <xdr:cNvSpPr txBox="1"/>
      </xdr:nvSpPr>
      <xdr:spPr>
        <a:xfrm>
          <a:off x="2552700" y="5191125"/>
          <a:ext cx="3019425" cy="771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0" baseline="0">
              <a:solidFill>
                <a:schemeClr val="tx1"/>
              </a:solidFill>
            </a:rPr>
            <a:t>To view results in graphical form, please navigate to the sheet named </a:t>
          </a:r>
          <a:r>
            <a:rPr lang="en-CA" sz="1100" b="1" baseline="0">
              <a:solidFill>
                <a:schemeClr val="tx1"/>
              </a:solidFill>
            </a:rPr>
            <a:t>"Histogram"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6</xdr:row>
      <xdr:rowOff>9525</xdr:rowOff>
    </xdr:from>
    <xdr:to>
      <xdr:col>10</xdr:col>
      <xdr:colOff>19050</xdr:colOff>
      <xdr:row>20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D8BDD24-7C29-1055-39FD-C5AF56149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</xdr:row>
      <xdr:rowOff>123825</xdr:rowOff>
    </xdr:from>
    <xdr:to>
      <xdr:col>9</xdr:col>
      <xdr:colOff>9525</xdr:colOff>
      <xdr:row>5</xdr:row>
      <xdr:rowOff>133350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8D65713-A81F-4CD0-BB16-C9817A459833}"/>
            </a:ext>
          </a:extLst>
        </xdr:cNvPr>
        <xdr:cNvSpPr txBox="1"/>
      </xdr:nvSpPr>
      <xdr:spPr>
        <a:xfrm>
          <a:off x="2914650" y="504825"/>
          <a:ext cx="3057525" cy="5810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300" b="1">
              <a:solidFill>
                <a:schemeClr val="accent6"/>
              </a:solidFill>
            </a:rPr>
            <a:t>Resulting</a:t>
          </a:r>
          <a:r>
            <a:rPr lang="en-CA" sz="1300" b="1" baseline="0">
              <a:solidFill>
                <a:schemeClr val="accent6"/>
              </a:solidFill>
            </a:rPr>
            <a:t> Histogram of Generated Data</a:t>
          </a:r>
          <a:endParaRPr lang="en-CA" sz="1300" b="1">
            <a:solidFill>
              <a:schemeClr val="accent6"/>
            </a:solidFill>
          </a:endParaRPr>
        </a:p>
      </xdr:txBody>
    </xdr:sp>
    <xdr:clientData/>
  </xdr:twoCellAnchor>
  <xdr:twoCellAnchor>
    <xdr:from>
      <xdr:col>3</xdr:col>
      <xdr:colOff>600075</xdr:colOff>
      <xdr:row>21</xdr:row>
      <xdr:rowOff>0</xdr:rowOff>
    </xdr:from>
    <xdr:to>
      <xdr:col>9</xdr:col>
      <xdr:colOff>19050</xdr:colOff>
      <xdr:row>28</xdr:row>
      <xdr:rowOff>47625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B75C6DD-3185-4710-B4CC-6FB1246FA167}"/>
            </a:ext>
          </a:extLst>
        </xdr:cNvPr>
        <xdr:cNvSpPr txBox="1"/>
      </xdr:nvSpPr>
      <xdr:spPr>
        <a:xfrm>
          <a:off x="2905125" y="4000500"/>
          <a:ext cx="3076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0" baseline="0">
              <a:solidFill>
                <a:schemeClr val="tx1"/>
              </a:solidFill>
            </a:rPr>
            <a:t>Here, the data is sorted into </a:t>
          </a:r>
          <a:r>
            <a:rPr lang="en-CA" sz="1100" b="1" baseline="0">
              <a:solidFill>
                <a:schemeClr val="tx1"/>
              </a:solidFill>
            </a:rPr>
            <a:t>"bins" </a:t>
          </a:r>
          <a:r>
            <a:rPr lang="en-CA" sz="1100" b="0" baseline="0">
              <a:solidFill>
                <a:schemeClr val="tx1"/>
              </a:solidFill>
            </a:rPr>
            <a:t>that display the frequency of the resulting data in intervals of 10. </a:t>
          </a:r>
        </a:p>
        <a:p>
          <a:pPr algn="ctr"/>
          <a:endParaRPr lang="en-CA" sz="1100" b="0" baseline="0">
            <a:solidFill>
              <a:schemeClr val="tx1"/>
            </a:solidFill>
          </a:endParaRPr>
        </a:p>
        <a:p>
          <a:pPr algn="ctr"/>
          <a:r>
            <a:rPr lang="en-CA" sz="1100" b="0" baseline="0">
              <a:solidFill>
                <a:schemeClr val="tx1"/>
              </a:solidFill>
            </a:rPr>
            <a:t>This is done using the built in excel function </a:t>
          </a:r>
          <a:r>
            <a:rPr lang="en-CA" sz="1100" b="1" baseline="0">
              <a:solidFill>
                <a:schemeClr val="tx1"/>
              </a:solidFill>
            </a:rPr>
            <a:t>"CountIFS" </a:t>
          </a:r>
          <a:r>
            <a:rPr lang="en-CA" sz="1100" b="0" baseline="0">
              <a:solidFill>
                <a:schemeClr val="tx1"/>
              </a:solidFill>
            </a:rPr>
            <a:t>that counts the number of cells that meet multiple criteria (ex. c1: &gt;10 &amp; c2: &lt;=20).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BADD-39E9-445F-943A-129E2879ADD0}">
  <sheetPr codeName="Sheet2"/>
  <dimension ref="A1"/>
  <sheetViews>
    <sheetView workbookViewId="0">
      <selection activeCell="E27" sqref="E27"/>
    </sheetView>
  </sheetViews>
  <sheetFormatPr defaultRowHeight="15" x14ac:dyDescent="0.25"/>
  <cols>
    <col min="1" max="2" width="12.710937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C661-2364-41E1-A53D-74AA30D8A6E6}">
  <sheetPr codeName="Sheet1"/>
  <dimension ref="A1:B406"/>
  <sheetViews>
    <sheetView tabSelected="1" workbookViewId="0">
      <selection activeCell="C7" sqref="C7"/>
    </sheetView>
  </sheetViews>
  <sheetFormatPr defaultRowHeight="15" x14ac:dyDescent="0.25"/>
  <cols>
    <col min="1" max="1" width="16.7109375" bestFit="1" customWidth="1"/>
    <col min="2" max="2" width="12.140625" customWidth="1"/>
  </cols>
  <sheetData>
    <row r="1" spans="1:2" ht="18.75" x14ac:dyDescent="0.3">
      <c r="A1" s="4" t="s">
        <v>0</v>
      </c>
      <c r="B1" s="4"/>
    </row>
    <row r="2" spans="1:2" x14ac:dyDescent="0.25">
      <c r="A2" s="1" t="s">
        <v>1</v>
      </c>
      <c r="B2">
        <v>1</v>
      </c>
    </row>
    <row r="3" spans="1:2" x14ac:dyDescent="0.25">
      <c r="A3" s="1" t="s">
        <v>2</v>
      </c>
      <c r="B3">
        <v>80</v>
      </c>
    </row>
    <row r="4" spans="1:2" x14ac:dyDescent="0.25">
      <c r="A4" s="1" t="s">
        <v>3</v>
      </c>
      <c r="B4">
        <v>100</v>
      </c>
    </row>
    <row r="5" spans="1:2" x14ac:dyDescent="0.25">
      <c r="A5" s="1" t="s">
        <v>6</v>
      </c>
      <c r="B5">
        <v>400</v>
      </c>
    </row>
    <row r="7" spans="1:2" x14ac:dyDescent="0.25">
      <c r="A7">
        <f ca="1">Triangular(B2, B3, B4)</f>
        <v>87.711427178168663</v>
      </c>
    </row>
    <row r="8" spans="1:2" x14ac:dyDescent="0.25">
      <c r="A8">
        <f ca="1">Triangular(B2, B3, B4)</f>
        <v>48.311219082781193</v>
      </c>
    </row>
    <row r="9" spans="1:2" x14ac:dyDescent="0.25">
      <c r="A9">
        <f ca="1">Triangular(B2, B3, B4)</f>
        <v>79.055570946203943</v>
      </c>
    </row>
    <row r="10" spans="1:2" x14ac:dyDescent="0.25">
      <c r="A10">
        <f ca="1">Triangular(B2, B3, B4)</f>
        <v>10.297393111209187</v>
      </c>
    </row>
    <row r="11" spans="1:2" x14ac:dyDescent="0.25">
      <c r="A11">
        <f ca="1">Triangular(B2, B3, B4)</f>
        <v>33.501094420969459</v>
      </c>
    </row>
    <row r="12" spans="1:2" x14ac:dyDescent="0.25">
      <c r="A12">
        <f ca="1">Triangular(B2, B3, B4)</f>
        <v>32.572329747718662</v>
      </c>
    </row>
    <row r="13" spans="1:2" x14ac:dyDescent="0.25">
      <c r="A13">
        <f ca="1">Triangular(B2, B3, B4)</f>
        <v>42.363761412009232</v>
      </c>
    </row>
    <row r="14" spans="1:2" x14ac:dyDescent="0.25">
      <c r="A14">
        <f ca="1">Triangular(B2, B3, B4)</f>
        <v>85.136263239016856</v>
      </c>
    </row>
    <row r="15" spans="1:2" x14ac:dyDescent="0.25">
      <c r="A15">
        <f ca="1">Triangular(B2, B3, B4)</f>
        <v>16.45643144301286</v>
      </c>
    </row>
    <row r="16" spans="1:2" x14ac:dyDescent="0.25">
      <c r="A16">
        <f ca="1">Triangular(B2, B3, B4)</f>
        <v>58.382205267615333</v>
      </c>
    </row>
    <row r="17" spans="1:1" x14ac:dyDescent="0.25">
      <c r="A17">
        <f ca="1">Triangular(B2, B3, B4)</f>
        <v>78.610152279267965</v>
      </c>
    </row>
    <row r="18" spans="1:1" x14ac:dyDescent="0.25">
      <c r="A18">
        <f ca="1">Triangular(B2, B3, B4)</f>
        <v>79.146493381311814</v>
      </c>
    </row>
    <row r="19" spans="1:1" x14ac:dyDescent="0.25">
      <c r="A19">
        <f ca="1">Triangular(B2, B3, B4)</f>
        <v>88.10610016492727</v>
      </c>
    </row>
    <row r="20" spans="1:1" x14ac:dyDescent="0.25">
      <c r="A20">
        <f ca="1">Triangular(B2, B3, B4)</f>
        <v>72.902585368916974</v>
      </c>
    </row>
    <row r="21" spans="1:1" x14ac:dyDescent="0.25">
      <c r="A21">
        <f ca="1">Triangular(B2, B3, B4)</f>
        <v>88.258222392949037</v>
      </c>
    </row>
    <row r="22" spans="1:1" x14ac:dyDescent="0.25">
      <c r="A22">
        <f ca="1">Triangular(B2, B3, B4)</f>
        <v>86.096507870974222</v>
      </c>
    </row>
    <row r="23" spans="1:1" x14ac:dyDescent="0.25">
      <c r="A23">
        <f ca="1">Triangular(B2, B3, B4)</f>
        <v>91.886358865079245</v>
      </c>
    </row>
    <row r="24" spans="1:1" x14ac:dyDescent="0.25">
      <c r="A24">
        <f ca="1">Triangular(B2, B3, B4)</f>
        <v>75.62143238443889</v>
      </c>
    </row>
    <row r="25" spans="1:1" x14ac:dyDescent="0.25">
      <c r="A25">
        <f ca="1">Triangular(B2, B3, B4)</f>
        <v>89.752547371297467</v>
      </c>
    </row>
    <row r="26" spans="1:1" x14ac:dyDescent="0.25">
      <c r="A26">
        <f ca="1">Triangular(B2, B3, B4)</f>
        <v>38.978647171306676</v>
      </c>
    </row>
    <row r="27" spans="1:1" x14ac:dyDescent="0.25">
      <c r="A27">
        <f ca="1">Triangular(B2, B3, B4)</f>
        <v>80.377682279941823</v>
      </c>
    </row>
    <row r="28" spans="1:1" x14ac:dyDescent="0.25">
      <c r="A28">
        <f ca="1">Triangular(B2, B3, B4)</f>
        <v>46.571399743765134</v>
      </c>
    </row>
    <row r="29" spans="1:1" x14ac:dyDescent="0.25">
      <c r="A29">
        <f ca="1">Triangular(B2, B3, B4)</f>
        <v>52.73306188469401</v>
      </c>
    </row>
    <row r="30" spans="1:1" x14ac:dyDescent="0.25">
      <c r="A30">
        <f ca="1">Triangular(B2, B3, B4)</f>
        <v>75.40277884051649</v>
      </c>
    </row>
    <row r="31" spans="1:1" x14ac:dyDescent="0.25">
      <c r="A31">
        <f ca="1">Triangular(B2, B3, B4)</f>
        <v>76.599864549600653</v>
      </c>
    </row>
    <row r="32" spans="1:1" x14ac:dyDescent="0.25">
      <c r="A32">
        <f ca="1">Triangular(B2, B3, B4)</f>
        <v>74.140602974418755</v>
      </c>
    </row>
    <row r="33" spans="1:1" x14ac:dyDescent="0.25">
      <c r="A33">
        <f ca="1">Triangular(B2, B3, B4)</f>
        <v>51.833523725976477</v>
      </c>
    </row>
    <row r="34" spans="1:1" x14ac:dyDescent="0.25">
      <c r="A34">
        <f ca="1">Triangular(B2, B3, B4)</f>
        <v>50.626696212904051</v>
      </c>
    </row>
    <row r="35" spans="1:1" x14ac:dyDescent="0.25">
      <c r="A35">
        <f ca="1">Triangular(B2, B3, B4)</f>
        <v>54.241555267968664</v>
      </c>
    </row>
    <row r="36" spans="1:1" x14ac:dyDescent="0.25">
      <c r="A36">
        <f ca="1">Triangular(B2, B3, B4)</f>
        <v>58.273282100959442</v>
      </c>
    </row>
    <row r="37" spans="1:1" x14ac:dyDescent="0.25">
      <c r="A37">
        <f ca="1">Triangular(B2, B3, B4)</f>
        <v>91.373167771609403</v>
      </c>
    </row>
    <row r="38" spans="1:1" x14ac:dyDescent="0.25">
      <c r="A38">
        <f ca="1">Triangular(B2, B3, B4)</f>
        <v>66.579418864925501</v>
      </c>
    </row>
    <row r="39" spans="1:1" x14ac:dyDescent="0.25">
      <c r="A39">
        <f ca="1">Triangular(B2, B3, B4)</f>
        <v>73.566110269793327</v>
      </c>
    </row>
    <row r="40" spans="1:1" x14ac:dyDescent="0.25">
      <c r="A40">
        <f ca="1">Triangular(B2, B3, B4)</f>
        <v>84.391844444825693</v>
      </c>
    </row>
    <row r="41" spans="1:1" x14ac:dyDescent="0.25">
      <c r="A41">
        <f ca="1">Triangular(B2, B3, B4)</f>
        <v>44.931081008586105</v>
      </c>
    </row>
    <row r="42" spans="1:1" x14ac:dyDescent="0.25">
      <c r="A42">
        <f ca="1">Triangular(B2, B3, B4)</f>
        <v>58.880027862080283</v>
      </c>
    </row>
    <row r="43" spans="1:1" x14ac:dyDescent="0.25">
      <c r="A43">
        <f ca="1">Triangular(B2, B3, B4)</f>
        <v>60.836852460022669</v>
      </c>
    </row>
    <row r="44" spans="1:1" x14ac:dyDescent="0.25">
      <c r="A44">
        <f ca="1">Triangular(B2, B3, B4)</f>
        <v>73.699088207748929</v>
      </c>
    </row>
    <row r="45" spans="1:1" x14ac:dyDescent="0.25">
      <c r="A45">
        <f ca="1">Triangular(B2, B3, B4)</f>
        <v>46.373840815736123</v>
      </c>
    </row>
    <row r="46" spans="1:1" x14ac:dyDescent="0.25">
      <c r="A46">
        <f ca="1">Triangular(B2, B3, B4)</f>
        <v>78.275054178863755</v>
      </c>
    </row>
    <row r="47" spans="1:1" x14ac:dyDescent="0.25">
      <c r="A47">
        <f ca="1">Triangular(B2, B3, B4)</f>
        <v>89.267549579023125</v>
      </c>
    </row>
    <row r="48" spans="1:1" x14ac:dyDescent="0.25">
      <c r="A48">
        <f ca="1">Triangular(B2, B3, B4)</f>
        <v>88.199310212172492</v>
      </c>
    </row>
    <row r="49" spans="1:1" x14ac:dyDescent="0.25">
      <c r="A49">
        <f ca="1">Triangular(B2, B3, B4)</f>
        <v>12.123202301895381</v>
      </c>
    </row>
    <row r="50" spans="1:1" x14ac:dyDescent="0.25">
      <c r="A50">
        <f ca="1">Triangular(B2, B3, B4)</f>
        <v>69.734388390895532</v>
      </c>
    </row>
    <row r="51" spans="1:1" x14ac:dyDescent="0.25">
      <c r="A51">
        <f ca="1">Triangular(B2, B3, B4)</f>
        <v>76.466836999850784</v>
      </c>
    </row>
    <row r="52" spans="1:1" x14ac:dyDescent="0.25">
      <c r="A52">
        <f ca="1">Triangular(B2, B3, B4)</f>
        <v>45.671148690546651</v>
      </c>
    </row>
    <row r="53" spans="1:1" x14ac:dyDescent="0.25">
      <c r="A53">
        <f ca="1">Triangular(B2, B3, B4)</f>
        <v>90.223944047366871</v>
      </c>
    </row>
    <row r="54" spans="1:1" x14ac:dyDescent="0.25">
      <c r="A54">
        <f ca="1">Triangular(B2, B3, B4)</f>
        <v>73.246700820785492</v>
      </c>
    </row>
    <row r="55" spans="1:1" x14ac:dyDescent="0.25">
      <c r="A55">
        <f ca="1">Triangular(B2, B3, B4)</f>
        <v>89.132284334952388</v>
      </c>
    </row>
    <row r="56" spans="1:1" x14ac:dyDescent="0.25">
      <c r="A56">
        <f ca="1">Triangular(B2, B3, B4)</f>
        <v>56.6237642279523</v>
      </c>
    </row>
    <row r="57" spans="1:1" x14ac:dyDescent="0.25">
      <c r="A57">
        <f ca="1">Triangular(B2, B3, B4)</f>
        <v>89.994007356463769</v>
      </c>
    </row>
    <row r="58" spans="1:1" x14ac:dyDescent="0.25">
      <c r="A58">
        <f ca="1">Triangular(B2, B3, B4)</f>
        <v>70.712671566362701</v>
      </c>
    </row>
    <row r="59" spans="1:1" x14ac:dyDescent="0.25">
      <c r="A59">
        <f ca="1">Triangular(B2, B3, B4)</f>
        <v>88.066100378881544</v>
      </c>
    </row>
    <row r="60" spans="1:1" x14ac:dyDescent="0.25">
      <c r="A60">
        <f ca="1">Triangular(B2, B3, B4)</f>
        <v>71.165023209277066</v>
      </c>
    </row>
    <row r="61" spans="1:1" x14ac:dyDescent="0.25">
      <c r="A61">
        <f ca="1">Triangular(B2, B3, B4)</f>
        <v>84.933012811587346</v>
      </c>
    </row>
    <row r="62" spans="1:1" x14ac:dyDescent="0.25">
      <c r="A62">
        <f ca="1">Triangular(B2, B3, B4)</f>
        <v>76.390334708094699</v>
      </c>
    </row>
    <row r="63" spans="1:1" x14ac:dyDescent="0.25">
      <c r="A63">
        <f ca="1">Triangular(B2, B3, B4)</f>
        <v>57.189652534302603</v>
      </c>
    </row>
    <row r="64" spans="1:1" x14ac:dyDescent="0.25">
      <c r="A64">
        <f ca="1">Triangular(B2, B3, B4)</f>
        <v>73.42751084036982</v>
      </c>
    </row>
    <row r="65" spans="1:1" x14ac:dyDescent="0.25">
      <c r="A65">
        <f ca="1">Triangular(B2, B3, B4)</f>
        <v>77.938496605285295</v>
      </c>
    </row>
    <row r="66" spans="1:1" x14ac:dyDescent="0.25">
      <c r="A66">
        <f ca="1">Triangular(B2, B3, B4)</f>
        <v>81.883414709074501</v>
      </c>
    </row>
    <row r="67" spans="1:1" x14ac:dyDescent="0.25">
      <c r="A67">
        <f ca="1">Triangular(B2, B3, B4)</f>
        <v>47.202994783441817</v>
      </c>
    </row>
    <row r="68" spans="1:1" x14ac:dyDescent="0.25">
      <c r="A68">
        <f ca="1">Triangular(B2, B3, B4)</f>
        <v>76.651276705054499</v>
      </c>
    </row>
    <row r="69" spans="1:1" x14ac:dyDescent="0.25">
      <c r="A69">
        <f ca="1">Triangular(B2, B3, B4)</f>
        <v>79.01672667992419</v>
      </c>
    </row>
    <row r="70" spans="1:1" x14ac:dyDescent="0.25">
      <c r="A70">
        <f ca="1">Triangular(B2, B3, B4)</f>
        <v>75.870837325956998</v>
      </c>
    </row>
    <row r="71" spans="1:1" x14ac:dyDescent="0.25">
      <c r="A71">
        <f ca="1">Triangular(B2, B3, B4)</f>
        <v>71.26615653368215</v>
      </c>
    </row>
    <row r="72" spans="1:1" x14ac:dyDescent="0.25">
      <c r="A72">
        <f ca="1">Triangular(B2, B3, B4)</f>
        <v>5.7137982806189065</v>
      </c>
    </row>
    <row r="73" spans="1:1" x14ac:dyDescent="0.25">
      <c r="A73">
        <f ca="1">Triangular(B2, B3, B4)</f>
        <v>68.891387553700866</v>
      </c>
    </row>
    <row r="74" spans="1:1" x14ac:dyDescent="0.25">
      <c r="A74">
        <f ca="1">Triangular(B2, B3, B4)</f>
        <v>35.977114239589149</v>
      </c>
    </row>
    <row r="75" spans="1:1" x14ac:dyDescent="0.25">
      <c r="A75">
        <f ca="1">Triangular(B2, B3, B4)</f>
        <v>15.605712386632225</v>
      </c>
    </row>
    <row r="76" spans="1:1" x14ac:dyDescent="0.25">
      <c r="A76">
        <f ca="1">Triangular(B2, B3, B4)</f>
        <v>39.817109863900122</v>
      </c>
    </row>
    <row r="77" spans="1:1" x14ac:dyDescent="0.25">
      <c r="A77">
        <f ca="1">Triangular(B2, B3, B4)</f>
        <v>85.685253744359002</v>
      </c>
    </row>
    <row r="78" spans="1:1" x14ac:dyDescent="0.25">
      <c r="A78">
        <f ca="1">Triangular(B2, B3, B4)</f>
        <v>42.436979523579012</v>
      </c>
    </row>
    <row r="79" spans="1:1" x14ac:dyDescent="0.25">
      <c r="A79">
        <f ca="1">Triangular(B2, B3, B4)</f>
        <v>63.980198592290492</v>
      </c>
    </row>
    <row r="80" spans="1:1" x14ac:dyDescent="0.25">
      <c r="A80">
        <f ca="1">Triangular(B2, B3, B4)</f>
        <v>46.733345111371811</v>
      </c>
    </row>
    <row r="81" spans="1:1" x14ac:dyDescent="0.25">
      <c r="A81">
        <f ca="1">Triangular(B2, B3, B4)</f>
        <v>77.018301597354139</v>
      </c>
    </row>
    <row r="82" spans="1:1" x14ac:dyDescent="0.25">
      <c r="A82">
        <f ca="1">Triangular(B2, B3, B4)</f>
        <v>85.408176418569383</v>
      </c>
    </row>
    <row r="83" spans="1:1" x14ac:dyDescent="0.25">
      <c r="A83">
        <f ca="1">Triangular(B2, B3, B4)</f>
        <v>27.731236040006024</v>
      </c>
    </row>
    <row r="84" spans="1:1" x14ac:dyDescent="0.25">
      <c r="A84">
        <f ca="1">Triangular(B2, B3, B4)</f>
        <v>76.517222414223525</v>
      </c>
    </row>
    <row r="85" spans="1:1" x14ac:dyDescent="0.25">
      <c r="A85">
        <f ca="1">Triangular(B2, B3, B4)</f>
        <v>37.399234274195869</v>
      </c>
    </row>
    <row r="86" spans="1:1" x14ac:dyDescent="0.25">
      <c r="A86">
        <f ca="1">Triangular(B2, B3, B4)</f>
        <v>89.573545635594911</v>
      </c>
    </row>
    <row r="87" spans="1:1" x14ac:dyDescent="0.25">
      <c r="A87">
        <f ca="1">Triangular(B2, B3, B4)</f>
        <v>81.540080269267889</v>
      </c>
    </row>
    <row r="88" spans="1:1" x14ac:dyDescent="0.25">
      <c r="A88">
        <f ca="1">Triangular(B2, B3, B4)</f>
        <v>60.524489090944662</v>
      </c>
    </row>
    <row r="89" spans="1:1" x14ac:dyDescent="0.25">
      <c r="A89">
        <f ca="1">Triangular(B2, B3, B4)</f>
        <v>47.696423327014045</v>
      </c>
    </row>
    <row r="90" spans="1:1" x14ac:dyDescent="0.25">
      <c r="A90">
        <f ca="1">Triangular(B2, B3, B4)</f>
        <v>65.406524703426982</v>
      </c>
    </row>
    <row r="91" spans="1:1" x14ac:dyDescent="0.25">
      <c r="A91">
        <f ca="1">Triangular(B2, B3, B4)</f>
        <v>66.932416243078507</v>
      </c>
    </row>
    <row r="92" spans="1:1" x14ac:dyDescent="0.25">
      <c r="A92">
        <f ca="1">Triangular(B2, B3, B4)</f>
        <v>52.589953590750405</v>
      </c>
    </row>
    <row r="93" spans="1:1" x14ac:dyDescent="0.25">
      <c r="A93">
        <f ca="1">Triangular(B2, B3, B4)</f>
        <v>83.728443358832152</v>
      </c>
    </row>
    <row r="94" spans="1:1" x14ac:dyDescent="0.25">
      <c r="A94">
        <f ca="1">Triangular(B2, B3, B4)</f>
        <v>36.265610819531901</v>
      </c>
    </row>
    <row r="95" spans="1:1" x14ac:dyDescent="0.25">
      <c r="A95">
        <f ca="1">Triangular(B2, B3, B4)</f>
        <v>38.456168267141635</v>
      </c>
    </row>
    <row r="96" spans="1:1" x14ac:dyDescent="0.25">
      <c r="A96">
        <f ca="1">Triangular(B2, B3, B4)</f>
        <v>24.150392629381471</v>
      </c>
    </row>
    <row r="97" spans="1:1" x14ac:dyDescent="0.25">
      <c r="A97">
        <f ca="1">Triangular(B2, B3, B4)</f>
        <v>53.586374551070222</v>
      </c>
    </row>
    <row r="98" spans="1:1" x14ac:dyDescent="0.25">
      <c r="A98">
        <f ca="1">Triangular(B2, B3, B4)</f>
        <v>96.687127044368623</v>
      </c>
    </row>
    <row r="99" spans="1:1" x14ac:dyDescent="0.25">
      <c r="A99">
        <f ca="1">Triangular(B2, B3, B4)</f>
        <v>23.261623026931037</v>
      </c>
    </row>
    <row r="100" spans="1:1" x14ac:dyDescent="0.25">
      <c r="A100">
        <f ca="1">Triangular(B2, B3, B4)</f>
        <v>92.942205561943268</v>
      </c>
    </row>
    <row r="101" spans="1:1" x14ac:dyDescent="0.25">
      <c r="A101">
        <f ca="1">Triangular(B2, B3, B4)</f>
        <v>54.964241720314462</v>
      </c>
    </row>
    <row r="102" spans="1:1" x14ac:dyDescent="0.25">
      <c r="A102">
        <f ca="1">Triangular(B2, B3, B4)</f>
        <v>60.134678669442962</v>
      </c>
    </row>
    <row r="103" spans="1:1" x14ac:dyDescent="0.25">
      <c r="A103">
        <f ca="1">Triangular(B2, B3, B4)</f>
        <v>82.437296193175257</v>
      </c>
    </row>
    <row r="104" spans="1:1" x14ac:dyDescent="0.25">
      <c r="A104">
        <f ca="1">Triangular(B2, B3, B4)</f>
        <v>85.355679289427698</v>
      </c>
    </row>
    <row r="105" spans="1:1" x14ac:dyDescent="0.25">
      <c r="A105">
        <f ca="1">Triangular(B2, B3, B4)</f>
        <v>66.690774134132781</v>
      </c>
    </row>
    <row r="106" spans="1:1" x14ac:dyDescent="0.25">
      <c r="A106">
        <f ca="1">Triangular(B2, B3, B4)</f>
        <v>18.956613376046324</v>
      </c>
    </row>
    <row r="107" spans="1:1" x14ac:dyDescent="0.25">
      <c r="A107">
        <f ca="1">Triangular(B2, B3, B4)</f>
        <v>47.47893249193968</v>
      </c>
    </row>
    <row r="108" spans="1:1" x14ac:dyDescent="0.25">
      <c r="A108">
        <f ca="1">Triangular(B2, B3, B4)</f>
        <v>66.625625273586763</v>
      </c>
    </row>
    <row r="109" spans="1:1" x14ac:dyDescent="0.25">
      <c r="A109">
        <f ca="1">Triangular(B2, B3, B4)</f>
        <v>90.56873004225308</v>
      </c>
    </row>
    <row r="110" spans="1:1" x14ac:dyDescent="0.25">
      <c r="A110">
        <f ca="1">Triangular(B2, B3, B4)</f>
        <v>74.17804458262853</v>
      </c>
    </row>
    <row r="111" spans="1:1" x14ac:dyDescent="0.25">
      <c r="A111">
        <f ca="1">Triangular(B2, B3, B4)</f>
        <v>14.894676979894371</v>
      </c>
    </row>
    <row r="112" spans="1:1" x14ac:dyDescent="0.25">
      <c r="A112">
        <f ca="1">Triangular(B2, B3, B4)</f>
        <v>80.174644826003345</v>
      </c>
    </row>
    <row r="113" spans="1:1" x14ac:dyDescent="0.25">
      <c r="A113">
        <f ca="1">Triangular(B2, B3, B4)</f>
        <v>38.609911733742827</v>
      </c>
    </row>
    <row r="114" spans="1:1" x14ac:dyDescent="0.25">
      <c r="A114">
        <f ca="1">Triangular(B2, B3, B4)</f>
        <v>79.918391932343368</v>
      </c>
    </row>
    <row r="115" spans="1:1" x14ac:dyDescent="0.25">
      <c r="A115">
        <f ca="1">Triangular(B2, B3, B4)</f>
        <v>72.345692679564678</v>
      </c>
    </row>
    <row r="116" spans="1:1" x14ac:dyDescent="0.25">
      <c r="A116">
        <f ca="1">Triangular(B2, B3, B4)</f>
        <v>93.94419438011289</v>
      </c>
    </row>
    <row r="117" spans="1:1" x14ac:dyDescent="0.25">
      <c r="A117">
        <f ca="1">Triangular(B2, B3, B4)</f>
        <v>62.3823352458705</v>
      </c>
    </row>
    <row r="118" spans="1:1" x14ac:dyDescent="0.25">
      <c r="A118">
        <f ca="1">Triangular(B2, B3, B4)</f>
        <v>54.670312388965201</v>
      </c>
    </row>
    <row r="119" spans="1:1" x14ac:dyDescent="0.25">
      <c r="A119">
        <f ca="1">Triangular(B2, B3, B4)</f>
        <v>33.202547601246039</v>
      </c>
    </row>
    <row r="120" spans="1:1" x14ac:dyDescent="0.25">
      <c r="A120">
        <f ca="1">Triangular(B2, B3, B4)</f>
        <v>15.205136921463426</v>
      </c>
    </row>
    <row r="121" spans="1:1" x14ac:dyDescent="0.25">
      <c r="A121">
        <f ca="1">Triangular(B2, B3, B4)</f>
        <v>51.28300531748117</v>
      </c>
    </row>
    <row r="122" spans="1:1" x14ac:dyDescent="0.25">
      <c r="A122">
        <f ca="1">Triangular(B2, B3, B4)</f>
        <v>9.609392121119706</v>
      </c>
    </row>
    <row r="123" spans="1:1" x14ac:dyDescent="0.25">
      <c r="A123">
        <f ca="1">Triangular(B2, B3, B4)</f>
        <v>44.493770225208841</v>
      </c>
    </row>
    <row r="124" spans="1:1" x14ac:dyDescent="0.25">
      <c r="A124">
        <f ca="1">Triangular(B2, B3, B4)</f>
        <v>37.430783651452451</v>
      </c>
    </row>
    <row r="125" spans="1:1" x14ac:dyDescent="0.25">
      <c r="A125">
        <f ca="1">Triangular(B2, B3, B4)</f>
        <v>52.917800470805176</v>
      </c>
    </row>
    <row r="126" spans="1:1" x14ac:dyDescent="0.25">
      <c r="A126">
        <f ca="1">Triangular(B2, B3, B4)</f>
        <v>81.486834918834674</v>
      </c>
    </row>
    <row r="127" spans="1:1" x14ac:dyDescent="0.25">
      <c r="A127">
        <f ca="1">Triangular(B2, B3, B4)</f>
        <v>45.584026042363782</v>
      </c>
    </row>
    <row r="128" spans="1:1" x14ac:dyDescent="0.25">
      <c r="A128">
        <f ca="1">Triangular(B2, B3, B4)</f>
        <v>75.698722147496497</v>
      </c>
    </row>
    <row r="129" spans="1:1" x14ac:dyDescent="0.25">
      <c r="A129">
        <f ca="1">Triangular(B2, B3, B4)</f>
        <v>35.781153118379059</v>
      </c>
    </row>
    <row r="130" spans="1:1" x14ac:dyDescent="0.25">
      <c r="A130">
        <f ca="1">Triangular(B2, B3, B4)</f>
        <v>89.196282784095629</v>
      </c>
    </row>
    <row r="131" spans="1:1" x14ac:dyDescent="0.25">
      <c r="A131">
        <f ca="1">Triangular(B2, B3, B4)</f>
        <v>71.309282942608689</v>
      </c>
    </row>
    <row r="132" spans="1:1" x14ac:dyDescent="0.25">
      <c r="A132">
        <f ca="1">Triangular(B2, B3, B4)</f>
        <v>50.445342882556595</v>
      </c>
    </row>
    <row r="133" spans="1:1" x14ac:dyDescent="0.25">
      <c r="A133">
        <f ca="1">Triangular(B2, B3, B4)</f>
        <v>30.590097132438288</v>
      </c>
    </row>
    <row r="134" spans="1:1" x14ac:dyDescent="0.25">
      <c r="A134">
        <f ca="1">Triangular(B2, B3, B4)</f>
        <v>71.714967715857412</v>
      </c>
    </row>
    <row r="135" spans="1:1" x14ac:dyDescent="0.25">
      <c r="A135">
        <f ca="1">Triangular(B2, B3, B4)</f>
        <v>74.839249780902833</v>
      </c>
    </row>
    <row r="136" spans="1:1" x14ac:dyDescent="0.25">
      <c r="A136">
        <f ca="1">Triangular(B2, B3, B4)</f>
        <v>79.31260576720527</v>
      </c>
    </row>
    <row r="137" spans="1:1" x14ac:dyDescent="0.25">
      <c r="A137">
        <f ca="1">Triangular(B2, B3, B4)</f>
        <v>46.793201029753888</v>
      </c>
    </row>
    <row r="138" spans="1:1" x14ac:dyDescent="0.25">
      <c r="A138">
        <f ca="1">Triangular(B2, B3, B4)</f>
        <v>56.727408572894582</v>
      </c>
    </row>
    <row r="139" spans="1:1" x14ac:dyDescent="0.25">
      <c r="A139">
        <f ca="1">Triangular(B2, B3, B4)</f>
        <v>26.742129705245532</v>
      </c>
    </row>
    <row r="140" spans="1:1" x14ac:dyDescent="0.25">
      <c r="A140">
        <f ca="1">Triangular(B2, B3, B4)</f>
        <v>38.725711752090817</v>
      </c>
    </row>
    <row r="141" spans="1:1" x14ac:dyDescent="0.25">
      <c r="A141">
        <f ca="1">Triangular(B2, B3, B4)</f>
        <v>29.384944347453363</v>
      </c>
    </row>
    <row r="142" spans="1:1" x14ac:dyDescent="0.25">
      <c r="A142">
        <f ca="1">Triangular(B2, B3, B4)</f>
        <v>13.705317621224182</v>
      </c>
    </row>
    <row r="143" spans="1:1" x14ac:dyDescent="0.25">
      <c r="A143">
        <f ca="1">Triangular(B2, B3, B4)</f>
        <v>57.369688999240317</v>
      </c>
    </row>
    <row r="144" spans="1:1" x14ac:dyDescent="0.25">
      <c r="A144">
        <f ca="1">Triangular(B2, B3, B4)</f>
        <v>36.885775702257881</v>
      </c>
    </row>
    <row r="145" spans="1:1" x14ac:dyDescent="0.25">
      <c r="A145">
        <f ca="1">Triangular(B2, B3, B4)</f>
        <v>75.00178623741941</v>
      </c>
    </row>
    <row r="146" spans="1:1" x14ac:dyDescent="0.25">
      <c r="A146">
        <f ca="1">Triangular(B2, B3, B4)</f>
        <v>81.565913920541533</v>
      </c>
    </row>
    <row r="147" spans="1:1" x14ac:dyDescent="0.25">
      <c r="A147">
        <f ca="1">Triangular(B2, B3, B4)</f>
        <v>49.839868958787136</v>
      </c>
    </row>
    <row r="148" spans="1:1" x14ac:dyDescent="0.25">
      <c r="A148">
        <f ca="1">Triangular(B2, B3, B4)</f>
        <v>30.820190418444241</v>
      </c>
    </row>
    <row r="149" spans="1:1" x14ac:dyDescent="0.25">
      <c r="A149">
        <f ca="1">Triangular(B2, B3, B4)</f>
        <v>76.292205353069235</v>
      </c>
    </row>
    <row r="150" spans="1:1" x14ac:dyDescent="0.25">
      <c r="A150">
        <f ca="1">Triangular(B2, B3, B4)</f>
        <v>49.777764258149602</v>
      </c>
    </row>
    <row r="151" spans="1:1" x14ac:dyDescent="0.25">
      <c r="A151">
        <f ca="1">Triangular(B2, B3, B4)</f>
        <v>35.323339868443931</v>
      </c>
    </row>
    <row r="152" spans="1:1" x14ac:dyDescent="0.25">
      <c r="A152">
        <f ca="1">Triangular(B2, B3, B4)</f>
        <v>56.511390796197553</v>
      </c>
    </row>
    <row r="153" spans="1:1" x14ac:dyDescent="0.25">
      <c r="A153">
        <f ca="1">Triangular(B2, B3, B4)</f>
        <v>57.471964347227846</v>
      </c>
    </row>
    <row r="154" spans="1:1" x14ac:dyDescent="0.25">
      <c r="A154">
        <f ca="1">Triangular(B2, B3, B4)</f>
        <v>74.493406433073218</v>
      </c>
    </row>
    <row r="155" spans="1:1" x14ac:dyDescent="0.25">
      <c r="A155">
        <f ca="1">Triangular(B2, B3, B4)</f>
        <v>92.606750599386189</v>
      </c>
    </row>
    <row r="156" spans="1:1" x14ac:dyDescent="0.25">
      <c r="A156">
        <f ca="1">Triangular(B2, B3, B4)</f>
        <v>63.059082906700162</v>
      </c>
    </row>
    <row r="157" spans="1:1" x14ac:dyDescent="0.25">
      <c r="A157">
        <f ca="1">Triangular(B2, B3, B4)</f>
        <v>88.987782944623902</v>
      </c>
    </row>
    <row r="158" spans="1:1" x14ac:dyDescent="0.25">
      <c r="A158">
        <f ca="1">Triangular(B2, B3, B4)</f>
        <v>90.642547626580892</v>
      </c>
    </row>
    <row r="159" spans="1:1" x14ac:dyDescent="0.25">
      <c r="A159">
        <f ca="1">Triangular(B2, B3, B4)</f>
        <v>88.543694993571023</v>
      </c>
    </row>
    <row r="160" spans="1:1" x14ac:dyDescent="0.25">
      <c r="A160">
        <f ca="1">Triangular(B2, B3, B4)</f>
        <v>78.574849863441855</v>
      </c>
    </row>
    <row r="161" spans="1:1" x14ac:dyDescent="0.25">
      <c r="A161">
        <f ca="1">Triangular(B2, B3, B4)</f>
        <v>85.084723128875439</v>
      </c>
    </row>
    <row r="162" spans="1:1" x14ac:dyDescent="0.25">
      <c r="A162">
        <f ca="1">Triangular(B2, B3, B4)</f>
        <v>83.97644856910533</v>
      </c>
    </row>
    <row r="163" spans="1:1" x14ac:dyDescent="0.25">
      <c r="A163">
        <f ca="1">Triangular(B2, B3, B4)</f>
        <v>26.120117221905385</v>
      </c>
    </row>
    <row r="164" spans="1:1" x14ac:dyDescent="0.25">
      <c r="A164">
        <f ca="1">Triangular(B2, B3, B4)</f>
        <v>82.57585323074774</v>
      </c>
    </row>
    <row r="165" spans="1:1" x14ac:dyDescent="0.25">
      <c r="A165">
        <f ca="1">Triangular(B2, B3, B4)</f>
        <v>54.374764443599148</v>
      </c>
    </row>
    <row r="166" spans="1:1" x14ac:dyDescent="0.25">
      <c r="A166">
        <f ca="1">Triangular(B2, B3, B4)</f>
        <v>72.886605435388688</v>
      </c>
    </row>
    <row r="167" spans="1:1" x14ac:dyDescent="0.25">
      <c r="A167">
        <f ca="1">Triangular(B2, B3, B4)</f>
        <v>84.347477585717655</v>
      </c>
    </row>
    <row r="168" spans="1:1" x14ac:dyDescent="0.25">
      <c r="A168">
        <f ca="1">Triangular(B2, B3, B4)</f>
        <v>71.858107828251889</v>
      </c>
    </row>
    <row r="169" spans="1:1" x14ac:dyDescent="0.25">
      <c r="A169">
        <f ca="1">Triangular(B2, B3, B4)</f>
        <v>48.393328626354943</v>
      </c>
    </row>
    <row r="170" spans="1:1" x14ac:dyDescent="0.25">
      <c r="A170">
        <f ca="1">Triangular(B2, B3, B4)</f>
        <v>76.307462635783239</v>
      </c>
    </row>
    <row r="171" spans="1:1" x14ac:dyDescent="0.25">
      <c r="A171">
        <f ca="1">Triangular(B2, B3, B4)</f>
        <v>80.297283603388493</v>
      </c>
    </row>
    <row r="172" spans="1:1" x14ac:dyDescent="0.25">
      <c r="A172">
        <f ca="1">Triangular(B2, B3, B4)</f>
        <v>81.212897769775864</v>
      </c>
    </row>
    <row r="173" spans="1:1" x14ac:dyDescent="0.25">
      <c r="A173">
        <f ca="1">Triangular(B2, B3, B4)</f>
        <v>94.332181820808927</v>
      </c>
    </row>
    <row r="174" spans="1:1" x14ac:dyDescent="0.25">
      <c r="A174">
        <f ca="1">Triangular(B2, B3, B4)</f>
        <v>54.913458236074149</v>
      </c>
    </row>
    <row r="175" spans="1:1" x14ac:dyDescent="0.25">
      <c r="A175">
        <f ca="1">Triangular(B2, B3, B4)</f>
        <v>64.347681470702355</v>
      </c>
    </row>
    <row r="176" spans="1:1" x14ac:dyDescent="0.25">
      <c r="A176">
        <f ca="1">Triangular(B2, B3, B4)</f>
        <v>76.255815598883331</v>
      </c>
    </row>
    <row r="177" spans="1:1" x14ac:dyDescent="0.25">
      <c r="A177">
        <f ca="1">Triangular(B2, B3, B4)</f>
        <v>83.375667757523615</v>
      </c>
    </row>
    <row r="178" spans="1:1" x14ac:dyDescent="0.25">
      <c r="A178">
        <f ca="1">Triangular(B2, B3, B4)</f>
        <v>81.000932515591728</v>
      </c>
    </row>
    <row r="179" spans="1:1" x14ac:dyDescent="0.25">
      <c r="A179">
        <f ca="1">Triangular(B2, B3, B4)</f>
        <v>35.868196485221475</v>
      </c>
    </row>
    <row r="180" spans="1:1" x14ac:dyDescent="0.25">
      <c r="A180">
        <f ca="1">Triangular(B2, B3, B4)</f>
        <v>14.758534667575031</v>
      </c>
    </row>
    <row r="181" spans="1:1" x14ac:dyDescent="0.25">
      <c r="A181">
        <f ca="1">Triangular(B2, B3, B4)</f>
        <v>23.125038890481164</v>
      </c>
    </row>
    <row r="182" spans="1:1" x14ac:dyDescent="0.25">
      <c r="A182">
        <f ca="1">Triangular(B2, B3, B4)</f>
        <v>55.917600652051362</v>
      </c>
    </row>
    <row r="183" spans="1:1" x14ac:dyDescent="0.25">
      <c r="A183">
        <f ca="1">Triangular(B2, B3, B4)</f>
        <v>85.306947580765296</v>
      </c>
    </row>
    <row r="184" spans="1:1" x14ac:dyDescent="0.25">
      <c r="A184">
        <f ca="1">Triangular(B2, B3, B4)</f>
        <v>71.676221274054683</v>
      </c>
    </row>
    <row r="185" spans="1:1" x14ac:dyDescent="0.25">
      <c r="A185">
        <f ca="1">Triangular(B2, B3, B4)</f>
        <v>63.935349815975734</v>
      </c>
    </row>
    <row r="186" spans="1:1" x14ac:dyDescent="0.25">
      <c r="A186">
        <f ca="1">Triangular(B2, B3, B4)</f>
        <v>57.97625951556951</v>
      </c>
    </row>
    <row r="187" spans="1:1" x14ac:dyDescent="0.25">
      <c r="A187">
        <f ca="1">Triangular(B2, B3, B4)</f>
        <v>64.390907496179466</v>
      </c>
    </row>
    <row r="188" spans="1:1" x14ac:dyDescent="0.25">
      <c r="A188">
        <f ca="1">Triangular(B2, B3, B4)</f>
        <v>9.1452738142091903</v>
      </c>
    </row>
    <row r="189" spans="1:1" x14ac:dyDescent="0.25">
      <c r="A189">
        <f ca="1">Triangular(B2, B3, B4)</f>
        <v>51.719879879943676</v>
      </c>
    </row>
    <row r="190" spans="1:1" x14ac:dyDescent="0.25">
      <c r="A190">
        <f ca="1">Triangular(B2, B3, B4)</f>
        <v>37.676546207259086</v>
      </c>
    </row>
    <row r="191" spans="1:1" x14ac:dyDescent="0.25">
      <c r="A191">
        <f ca="1">Triangular(B2, B3, B4)</f>
        <v>25.245461788948301</v>
      </c>
    </row>
    <row r="192" spans="1:1" x14ac:dyDescent="0.25">
      <c r="A192">
        <f ca="1">Triangular(B2, B3, B4)</f>
        <v>24.823887831626823</v>
      </c>
    </row>
    <row r="193" spans="1:1" x14ac:dyDescent="0.25">
      <c r="A193">
        <f ca="1">Triangular(B2, B3, B4)</f>
        <v>80.452273764723572</v>
      </c>
    </row>
    <row r="194" spans="1:1" x14ac:dyDescent="0.25">
      <c r="A194">
        <f ca="1">Triangular(B2, B3, B4)</f>
        <v>67.213283181289214</v>
      </c>
    </row>
    <row r="195" spans="1:1" x14ac:dyDescent="0.25">
      <c r="A195">
        <f ca="1">Triangular(B2, B3, B4)</f>
        <v>19.124637315673048</v>
      </c>
    </row>
    <row r="196" spans="1:1" x14ac:dyDescent="0.25">
      <c r="A196">
        <f ca="1">Triangular(B2, B3, B4)</f>
        <v>41.510393425027559</v>
      </c>
    </row>
    <row r="197" spans="1:1" x14ac:dyDescent="0.25">
      <c r="A197">
        <f ca="1">Triangular(B2, B3, B4)</f>
        <v>63.313455398814952</v>
      </c>
    </row>
    <row r="198" spans="1:1" x14ac:dyDescent="0.25">
      <c r="A198">
        <f ca="1">Triangular(B2, B3, B4)</f>
        <v>34.558753273324683</v>
      </c>
    </row>
    <row r="199" spans="1:1" x14ac:dyDescent="0.25">
      <c r="A199">
        <f ca="1">Triangular(B2, B3, B4)</f>
        <v>94.646176446907361</v>
      </c>
    </row>
    <row r="200" spans="1:1" x14ac:dyDescent="0.25">
      <c r="A200">
        <f ca="1">Triangular(B2, B3, B4)</f>
        <v>22.398139951544554</v>
      </c>
    </row>
    <row r="201" spans="1:1" x14ac:dyDescent="0.25">
      <c r="A201">
        <f ca="1">Triangular(B2, B3, B4)</f>
        <v>28.205393194329158</v>
      </c>
    </row>
    <row r="202" spans="1:1" x14ac:dyDescent="0.25">
      <c r="A202">
        <f ca="1">Triangular(B2, B3, B4)</f>
        <v>61.747962131581566</v>
      </c>
    </row>
    <row r="203" spans="1:1" x14ac:dyDescent="0.25">
      <c r="A203">
        <f ca="1">Triangular(B2, B3, B4)</f>
        <v>81.84517693012485</v>
      </c>
    </row>
    <row r="204" spans="1:1" x14ac:dyDescent="0.25">
      <c r="A204">
        <f ca="1">Triangular(B2, B3, B4)</f>
        <v>73.481173236355957</v>
      </c>
    </row>
    <row r="205" spans="1:1" x14ac:dyDescent="0.25">
      <c r="A205">
        <f ca="1">Triangular(B2, B3, B4)</f>
        <v>55.02038410023026</v>
      </c>
    </row>
    <row r="206" spans="1:1" x14ac:dyDescent="0.25">
      <c r="A206">
        <f ca="1">Triangular(B2, B3, B4)</f>
        <v>77.772116170195304</v>
      </c>
    </row>
    <row r="207" spans="1:1" x14ac:dyDescent="0.25">
      <c r="A207">
        <f ca="1">Triangular(B2, B3, B4)</f>
        <v>33.20516767228537</v>
      </c>
    </row>
    <row r="208" spans="1:1" x14ac:dyDescent="0.25">
      <c r="A208">
        <f ca="1">Triangular(B2, B3, B4)</f>
        <v>55.392671541649285</v>
      </c>
    </row>
    <row r="209" spans="1:1" x14ac:dyDescent="0.25">
      <c r="A209">
        <f ca="1">Triangular(B2, B3, B4)</f>
        <v>80.080459462230948</v>
      </c>
    </row>
    <row r="210" spans="1:1" x14ac:dyDescent="0.25">
      <c r="A210">
        <f ca="1">Triangular(B2, B3, B4)</f>
        <v>86.634649308178567</v>
      </c>
    </row>
    <row r="211" spans="1:1" x14ac:dyDescent="0.25">
      <c r="A211">
        <f ca="1">Triangular(B2, B3, B4)</f>
        <v>81.925823698965516</v>
      </c>
    </row>
    <row r="212" spans="1:1" x14ac:dyDescent="0.25">
      <c r="A212">
        <f ca="1">Triangular(B2, B3, B4)</f>
        <v>80.841503250174114</v>
      </c>
    </row>
    <row r="213" spans="1:1" x14ac:dyDescent="0.25">
      <c r="A213">
        <f ca="1">Triangular(B2, B3, B4)</f>
        <v>69.311433121533611</v>
      </c>
    </row>
    <row r="214" spans="1:1" x14ac:dyDescent="0.25">
      <c r="A214">
        <f ca="1">Triangular(B2, B3, B4)</f>
        <v>75.73538315914692</v>
      </c>
    </row>
    <row r="215" spans="1:1" x14ac:dyDescent="0.25">
      <c r="A215">
        <f ca="1">Triangular(B2, B3, B4)</f>
        <v>50.306916598875347</v>
      </c>
    </row>
    <row r="216" spans="1:1" x14ac:dyDescent="0.25">
      <c r="A216">
        <f ca="1">Triangular(B2, B3, B4)</f>
        <v>69.328249186035052</v>
      </c>
    </row>
    <row r="217" spans="1:1" x14ac:dyDescent="0.25">
      <c r="A217">
        <f ca="1">Triangular(B2, B3, B4)</f>
        <v>76.097116962773427</v>
      </c>
    </row>
    <row r="218" spans="1:1" x14ac:dyDescent="0.25">
      <c r="A218">
        <f ca="1">Triangular(B2, B3, B4)</f>
        <v>37.601784604272972</v>
      </c>
    </row>
    <row r="219" spans="1:1" x14ac:dyDescent="0.25">
      <c r="A219">
        <f ca="1">Triangular(B2, B3, B4)</f>
        <v>76.676155024429349</v>
      </c>
    </row>
    <row r="220" spans="1:1" x14ac:dyDescent="0.25">
      <c r="A220">
        <f ca="1">Triangular(B2, B3, B4)</f>
        <v>62.688658168610978</v>
      </c>
    </row>
    <row r="221" spans="1:1" x14ac:dyDescent="0.25">
      <c r="A221">
        <f ca="1">Triangular(B2, B3, B4)</f>
        <v>57.996419976141169</v>
      </c>
    </row>
    <row r="222" spans="1:1" x14ac:dyDescent="0.25">
      <c r="A222">
        <f ca="1">Triangular(B2, B3, B4)</f>
        <v>70.669175845790463</v>
      </c>
    </row>
    <row r="223" spans="1:1" x14ac:dyDescent="0.25">
      <c r="A223">
        <f ca="1">Triangular(B2, B3, B4)</f>
        <v>79.111433364903718</v>
      </c>
    </row>
    <row r="224" spans="1:1" x14ac:dyDescent="0.25">
      <c r="A224">
        <f ca="1">Triangular(B2, B3, B4)</f>
        <v>64.845145882458439</v>
      </c>
    </row>
    <row r="225" spans="1:1" x14ac:dyDescent="0.25">
      <c r="A225">
        <f ca="1">Triangular(B2, B3, B4)</f>
        <v>76.884895676286462</v>
      </c>
    </row>
    <row r="226" spans="1:1" x14ac:dyDescent="0.25">
      <c r="A226">
        <f ca="1">Triangular(B2, B3, B4)</f>
        <v>68.07737705925345</v>
      </c>
    </row>
    <row r="227" spans="1:1" x14ac:dyDescent="0.25">
      <c r="A227">
        <f ca="1">Triangular(B2, B3, B4)</f>
        <v>35.115823127504619</v>
      </c>
    </row>
    <row r="228" spans="1:1" x14ac:dyDescent="0.25">
      <c r="A228">
        <f ca="1">Triangular(B2, B3, B4)</f>
        <v>17.517747037145021</v>
      </c>
    </row>
    <row r="229" spans="1:1" x14ac:dyDescent="0.25">
      <c r="A229">
        <f ca="1">Triangular(B2, B3, B4)</f>
        <v>57.418261612235909</v>
      </c>
    </row>
    <row r="230" spans="1:1" x14ac:dyDescent="0.25">
      <c r="A230">
        <f ca="1">Triangular(B2, B3, B4)</f>
        <v>39.626178140171895</v>
      </c>
    </row>
    <row r="231" spans="1:1" x14ac:dyDescent="0.25">
      <c r="A231">
        <f ca="1">Triangular(B2, B3, B4)</f>
        <v>76.389215505992979</v>
      </c>
    </row>
    <row r="232" spans="1:1" x14ac:dyDescent="0.25">
      <c r="A232">
        <f ca="1">Triangular(B2, B3, B4)</f>
        <v>82.81420334673318</v>
      </c>
    </row>
    <row r="233" spans="1:1" x14ac:dyDescent="0.25">
      <c r="A233">
        <f ca="1">Triangular(B2, B3, B4)</f>
        <v>55.498657201817757</v>
      </c>
    </row>
    <row r="234" spans="1:1" x14ac:dyDescent="0.25">
      <c r="A234">
        <f ca="1">Triangular(B2, B3, B4)</f>
        <v>56.79562223550861</v>
      </c>
    </row>
    <row r="235" spans="1:1" x14ac:dyDescent="0.25">
      <c r="A235">
        <f ca="1">Triangular(B2, B3, B4)</f>
        <v>32.512651959521563</v>
      </c>
    </row>
    <row r="236" spans="1:1" x14ac:dyDescent="0.25">
      <c r="A236">
        <f ca="1">Triangular(B2, B3, B4)</f>
        <v>13.464452734408658</v>
      </c>
    </row>
    <row r="237" spans="1:1" x14ac:dyDescent="0.25">
      <c r="A237">
        <f ca="1">Triangular(B2, B3, B4)</f>
        <v>57.818369425312177</v>
      </c>
    </row>
    <row r="238" spans="1:1" x14ac:dyDescent="0.25">
      <c r="A238">
        <f ca="1">Triangular(B2, B3, B4)</f>
        <v>39.555197214392209</v>
      </c>
    </row>
    <row r="239" spans="1:1" x14ac:dyDescent="0.25">
      <c r="A239">
        <f ca="1">Triangular(B2, B3, B4)</f>
        <v>85.762606047974188</v>
      </c>
    </row>
    <row r="240" spans="1:1" x14ac:dyDescent="0.25">
      <c r="A240">
        <f ca="1">Triangular(B2, B3, B4)</f>
        <v>43.296820727547079</v>
      </c>
    </row>
    <row r="241" spans="1:1" x14ac:dyDescent="0.25">
      <c r="A241">
        <f ca="1">Triangular(B2, B3, B4)</f>
        <v>45.28969215407092</v>
      </c>
    </row>
    <row r="242" spans="1:1" x14ac:dyDescent="0.25">
      <c r="A242">
        <f ca="1">Triangular(B2, B3, B4)</f>
        <v>49.51490335342411</v>
      </c>
    </row>
    <row r="243" spans="1:1" x14ac:dyDescent="0.25">
      <c r="A243">
        <f ca="1">Triangular(B2, B3, B4)</f>
        <v>75.564086913962583</v>
      </c>
    </row>
    <row r="244" spans="1:1" x14ac:dyDescent="0.25">
      <c r="A244">
        <f ca="1">Triangular(B2, B3, B4)</f>
        <v>55.753774455684038</v>
      </c>
    </row>
    <row r="245" spans="1:1" x14ac:dyDescent="0.25">
      <c r="A245">
        <f ca="1">Triangular(B2, B3, B4)</f>
        <v>42.986456109255705</v>
      </c>
    </row>
    <row r="246" spans="1:1" x14ac:dyDescent="0.25">
      <c r="A246">
        <f ca="1">Triangular(B2, B3, B4)</f>
        <v>60.571905792941557</v>
      </c>
    </row>
    <row r="247" spans="1:1" x14ac:dyDescent="0.25">
      <c r="A247">
        <f ca="1">Triangular(B2, B3, B4)</f>
        <v>83.685880544086174</v>
      </c>
    </row>
    <row r="248" spans="1:1" x14ac:dyDescent="0.25">
      <c r="A248">
        <f ca="1">Triangular(B2, B3, B4)</f>
        <v>66.384139820217968</v>
      </c>
    </row>
    <row r="249" spans="1:1" x14ac:dyDescent="0.25">
      <c r="A249">
        <f ca="1">Triangular(B2, B3, B4)</f>
        <v>83.048827428781507</v>
      </c>
    </row>
    <row r="250" spans="1:1" x14ac:dyDescent="0.25">
      <c r="A250">
        <f ca="1">Triangular(B2, B3, B4)</f>
        <v>55.443008025947286</v>
      </c>
    </row>
    <row r="251" spans="1:1" x14ac:dyDescent="0.25">
      <c r="A251">
        <f ca="1">Triangular(B2, B3, B4)</f>
        <v>29.143119182544133</v>
      </c>
    </row>
    <row r="252" spans="1:1" x14ac:dyDescent="0.25">
      <c r="A252">
        <f ca="1">Triangular(B2, B3, B4)</f>
        <v>56.907424367486669</v>
      </c>
    </row>
    <row r="253" spans="1:1" x14ac:dyDescent="0.25">
      <c r="A253">
        <f ca="1">Triangular(B2, B3, B4)</f>
        <v>87.735118621236566</v>
      </c>
    </row>
    <row r="254" spans="1:1" x14ac:dyDescent="0.25">
      <c r="A254">
        <f ca="1">Triangular(B2, B3, B4)</f>
        <v>88.323762261287172</v>
      </c>
    </row>
    <row r="255" spans="1:1" x14ac:dyDescent="0.25">
      <c r="A255">
        <f ca="1">Triangular(B2, B3, B4)</f>
        <v>74.001938450401013</v>
      </c>
    </row>
    <row r="256" spans="1:1" x14ac:dyDescent="0.25">
      <c r="A256">
        <f ca="1">Triangular(B2, B3, B4)</f>
        <v>77.490391222473477</v>
      </c>
    </row>
    <row r="257" spans="1:1" x14ac:dyDescent="0.25">
      <c r="A257">
        <f ca="1">Triangular(B2, B3, B4)</f>
        <v>58.757210400586835</v>
      </c>
    </row>
    <row r="258" spans="1:1" x14ac:dyDescent="0.25">
      <c r="A258">
        <f ca="1">Triangular(B2, B3, B4)</f>
        <v>51.461348257771668</v>
      </c>
    </row>
    <row r="259" spans="1:1" x14ac:dyDescent="0.25">
      <c r="A259">
        <f ca="1">Triangular(B2, B3, B4)</f>
        <v>78.518600766226612</v>
      </c>
    </row>
    <row r="260" spans="1:1" x14ac:dyDescent="0.25">
      <c r="A260">
        <f ca="1">Triangular(B2, B3, B4)</f>
        <v>58.548812282578844</v>
      </c>
    </row>
    <row r="261" spans="1:1" x14ac:dyDescent="0.25">
      <c r="A261">
        <f ca="1">Triangular(B2, B3, B4)</f>
        <v>40.292281381731016</v>
      </c>
    </row>
    <row r="262" spans="1:1" x14ac:dyDescent="0.25">
      <c r="A262">
        <f ca="1">Triangular(B2, B3, B4)</f>
        <v>74.960812951459872</v>
      </c>
    </row>
    <row r="263" spans="1:1" x14ac:dyDescent="0.25">
      <c r="A263">
        <f ca="1">Triangular(B2, B3, B4)</f>
        <v>85.201190998340977</v>
      </c>
    </row>
    <row r="264" spans="1:1" x14ac:dyDescent="0.25">
      <c r="A264">
        <f ca="1">Triangular(B2, B3, B4)</f>
        <v>87.389751110082784</v>
      </c>
    </row>
    <row r="265" spans="1:1" x14ac:dyDescent="0.25">
      <c r="A265">
        <f ca="1">Triangular(B2, B3, B4)</f>
        <v>62.639500588144386</v>
      </c>
    </row>
    <row r="266" spans="1:1" x14ac:dyDescent="0.25">
      <c r="A266">
        <f ca="1">Triangular(B2, B3, B4)</f>
        <v>53.943613919270234</v>
      </c>
    </row>
    <row r="267" spans="1:1" x14ac:dyDescent="0.25">
      <c r="A267">
        <f ca="1">Triangular(B2, B3, B4)</f>
        <v>75.137442628435963</v>
      </c>
    </row>
    <row r="268" spans="1:1" x14ac:dyDescent="0.25">
      <c r="A268">
        <f ca="1">Triangular(B2, B3, B4)</f>
        <v>82.374531528936231</v>
      </c>
    </row>
    <row r="269" spans="1:1" x14ac:dyDescent="0.25">
      <c r="A269">
        <f ca="1">Triangular(B2, B3, B4)</f>
        <v>73.122248545464871</v>
      </c>
    </row>
    <row r="270" spans="1:1" x14ac:dyDescent="0.25">
      <c r="A270">
        <f ca="1">Triangular(B2, B3, B4)</f>
        <v>32.476173398473939</v>
      </c>
    </row>
    <row r="271" spans="1:1" x14ac:dyDescent="0.25">
      <c r="A271">
        <f ca="1">Triangular(B2, B3, B4)</f>
        <v>38.031440543638197</v>
      </c>
    </row>
    <row r="272" spans="1:1" x14ac:dyDescent="0.25">
      <c r="A272">
        <f ca="1">Triangular(B2, B3, B4)</f>
        <v>86.525789416334391</v>
      </c>
    </row>
    <row r="273" spans="1:1" x14ac:dyDescent="0.25">
      <c r="A273">
        <f ca="1">Triangular(B2, B3, B4)</f>
        <v>83.091049966986475</v>
      </c>
    </row>
    <row r="274" spans="1:1" x14ac:dyDescent="0.25">
      <c r="A274">
        <f ca="1">Triangular(B2, B3, B4)</f>
        <v>63.776834709093251</v>
      </c>
    </row>
    <row r="275" spans="1:1" x14ac:dyDescent="0.25">
      <c r="A275">
        <f ca="1">Triangular(B2, B3, B4)</f>
        <v>58.029436804806402</v>
      </c>
    </row>
    <row r="276" spans="1:1" x14ac:dyDescent="0.25">
      <c r="A276">
        <f ca="1">Triangular(B2, B3, B4)</f>
        <v>81.75830925059671</v>
      </c>
    </row>
    <row r="277" spans="1:1" x14ac:dyDescent="0.25">
      <c r="A277">
        <f ca="1">Triangular(B2, B3, B4)</f>
        <v>79.348652702614018</v>
      </c>
    </row>
    <row r="278" spans="1:1" x14ac:dyDescent="0.25">
      <c r="A278">
        <f ca="1">Triangular(B2, B3, B4)</f>
        <v>75.310857826468848</v>
      </c>
    </row>
    <row r="279" spans="1:1" x14ac:dyDescent="0.25">
      <c r="A279">
        <f ca="1">Triangular(B2, B3, B4)</f>
        <v>45.871801496788649</v>
      </c>
    </row>
    <row r="280" spans="1:1" x14ac:dyDescent="0.25">
      <c r="A280">
        <f ca="1">Triangular(B2, B3, B4)</f>
        <v>68.571398381966276</v>
      </c>
    </row>
    <row r="281" spans="1:1" x14ac:dyDescent="0.25">
      <c r="A281">
        <f ca="1">Triangular(B2, B3, B4)</f>
        <v>81.187548881416845</v>
      </c>
    </row>
    <row r="282" spans="1:1" x14ac:dyDescent="0.25">
      <c r="A282">
        <f ca="1">Triangular(B2, B3, B4)</f>
        <v>37.862432773466701</v>
      </c>
    </row>
    <row r="283" spans="1:1" x14ac:dyDescent="0.25">
      <c r="A283">
        <f ca="1">Triangular(B2, B3, B4)</f>
        <v>82.751305608816224</v>
      </c>
    </row>
    <row r="284" spans="1:1" x14ac:dyDescent="0.25">
      <c r="A284">
        <f ca="1">Triangular(B2, B3, B4)</f>
        <v>51.596616253236306</v>
      </c>
    </row>
    <row r="285" spans="1:1" x14ac:dyDescent="0.25">
      <c r="A285">
        <f ca="1">Triangular(B2, B3, B4)</f>
        <v>97.258761056486577</v>
      </c>
    </row>
    <row r="286" spans="1:1" x14ac:dyDescent="0.25">
      <c r="A286">
        <f ca="1">Triangular(B2, B3, B4)</f>
        <v>93.27215907319615</v>
      </c>
    </row>
    <row r="287" spans="1:1" x14ac:dyDescent="0.25">
      <c r="A287">
        <f ca="1">Triangular(B2, B3, B4)</f>
        <v>73.784930205343471</v>
      </c>
    </row>
    <row r="288" spans="1:1" x14ac:dyDescent="0.25">
      <c r="A288">
        <f ca="1">Triangular(B2, B3, B4)</f>
        <v>83.050087631080771</v>
      </c>
    </row>
    <row r="289" spans="1:1" x14ac:dyDescent="0.25">
      <c r="A289">
        <f ca="1">Triangular(B2, B3, B4)</f>
        <v>75.351638211901886</v>
      </c>
    </row>
    <row r="290" spans="1:1" x14ac:dyDescent="0.25">
      <c r="A290">
        <f ca="1">Triangular(B2, B3, B4)</f>
        <v>77.18632827730859</v>
      </c>
    </row>
    <row r="291" spans="1:1" x14ac:dyDescent="0.25">
      <c r="A291">
        <f ca="1">Triangular(B2, B3, B4)</f>
        <v>65.585464797430603</v>
      </c>
    </row>
    <row r="292" spans="1:1" x14ac:dyDescent="0.25">
      <c r="A292">
        <f ca="1">Triangular(B2, B3, B4)</f>
        <v>47.285247340335239</v>
      </c>
    </row>
    <row r="293" spans="1:1" x14ac:dyDescent="0.25">
      <c r="A293">
        <f ca="1">Triangular(B2, B3, B4)</f>
        <v>63.5667937188691</v>
      </c>
    </row>
    <row r="294" spans="1:1" x14ac:dyDescent="0.25">
      <c r="A294">
        <f ca="1">Triangular(B2, B3, B4)</f>
        <v>67.842399069896814</v>
      </c>
    </row>
    <row r="295" spans="1:1" x14ac:dyDescent="0.25">
      <c r="A295">
        <f ca="1">Triangular(B2, B3, B4)</f>
        <v>40.876533906306904</v>
      </c>
    </row>
    <row r="296" spans="1:1" x14ac:dyDescent="0.25">
      <c r="A296">
        <f ca="1">Triangular(B2, B3, B4)</f>
        <v>59.713765205312626</v>
      </c>
    </row>
    <row r="297" spans="1:1" x14ac:dyDescent="0.25">
      <c r="A297">
        <f ca="1">Triangular(B2, B3, B4)</f>
        <v>91.945307852804675</v>
      </c>
    </row>
    <row r="298" spans="1:1" x14ac:dyDescent="0.25">
      <c r="A298">
        <f ca="1">Triangular(B2, B3, B4)</f>
        <v>29.045619120412859</v>
      </c>
    </row>
    <row r="299" spans="1:1" x14ac:dyDescent="0.25">
      <c r="A299">
        <f ca="1">Triangular(B2, B3, B4)</f>
        <v>78.828467998809515</v>
      </c>
    </row>
    <row r="300" spans="1:1" x14ac:dyDescent="0.25">
      <c r="A300">
        <f ca="1">Triangular(B2, B3, B4)</f>
        <v>69.459598896452619</v>
      </c>
    </row>
    <row r="301" spans="1:1" x14ac:dyDescent="0.25">
      <c r="A301">
        <f ca="1">Triangular(B2, B3, B4)</f>
        <v>23.176904374065458</v>
      </c>
    </row>
    <row r="302" spans="1:1" x14ac:dyDescent="0.25">
      <c r="A302">
        <f ca="1">Triangular(B2, B3, B4)</f>
        <v>58.832682972862088</v>
      </c>
    </row>
    <row r="303" spans="1:1" x14ac:dyDescent="0.25">
      <c r="A303">
        <f ca="1">Triangular(B2, B3, B4)</f>
        <v>69.419575236825025</v>
      </c>
    </row>
    <row r="304" spans="1:1" x14ac:dyDescent="0.25">
      <c r="A304">
        <f ca="1">Triangular(B2, B3, B4)</f>
        <v>79.313683190354482</v>
      </c>
    </row>
    <row r="305" spans="1:1" x14ac:dyDescent="0.25">
      <c r="A305">
        <f ca="1">Triangular(B2, B3, B4)</f>
        <v>80.618589846360265</v>
      </c>
    </row>
    <row r="306" spans="1:1" x14ac:dyDescent="0.25">
      <c r="A306">
        <f ca="1">Triangular(B2, B3, B4)</f>
        <v>53.148706252873573</v>
      </c>
    </row>
    <row r="307" spans="1:1" x14ac:dyDescent="0.25">
      <c r="A307">
        <f ca="1">Triangular(B2, B3, B4)</f>
        <v>96.059981470393652</v>
      </c>
    </row>
    <row r="308" spans="1:1" x14ac:dyDescent="0.25">
      <c r="A308">
        <f ca="1">Triangular(B2, B3, B4)</f>
        <v>79.766001720696735</v>
      </c>
    </row>
    <row r="309" spans="1:1" x14ac:dyDescent="0.25">
      <c r="A309">
        <f ca="1">Triangular(B2, B3, B4)</f>
        <v>59.597238128596459</v>
      </c>
    </row>
    <row r="310" spans="1:1" x14ac:dyDescent="0.25">
      <c r="A310">
        <f ca="1">Triangular(B2, B3, B4)</f>
        <v>54.96580525886764</v>
      </c>
    </row>
    <row r="311" spans="1:1" x14ac:dyDescent="0.25">
      <c r="A311">
        <f ca="1">Triangular(B2, B3, B4)</f>
        <v>74.571881235295223</v>
      </c>
    </row>
    <row r="312" spans="1:1" x14ac:dyDescent="0.25">
      <c r="A312">
        <f ca="1">Triangular(B2, B3, B4)</f>
        <v>44.769139887887</v>
      </c>
    </row>
    <row r="313" spans="1:1" x14ac:dyDescent="0.25">
      <c r="A313">
        <f ca="1">Triangular(B2, B3, B4)</f>
        <v>36.439853166228659</v>
      </c>
    </row>
    <row r="314" spans="1:1" x14ac:dyDescent="0.25">
      <c r="A314">
        <f ca="1">Triangular(B2, B3, B4)</f>
        <v>80.75139657045716</v>
      </c>
    </row>
    <row r="315" spans="1:1" x14ac:dyDescent="0.25">
      <c r="A315">
        <f ca="1">Triangular(B2, B3, B4)</f>
        <v>80.960583545717554</v>
      </c>
    </row>
    <row r="316" spans="1:1" x14ac:dyDescent="0.25">
      <c r="A316">
        <f ca="1">Triangular(B2, B3, B4)</f>
        <v>69.65038403466491</v>
      </c>
    </row>
    <row r="317" spans="1:1" x14ac:dyDescent="0.25">
      <c r="A317">
        <f ca="1">Triangular(B2, B3, B4)</f>
        <v>78.47948729093234</v>
      </c>
    </row>
    <row r="318" spans="1:1" x14ac:dyDescent="0.25">
      <c r="A318">
        <f ca="1">Triangular(B2, B3, B4)</f>
        <v>31.2204122194657</v>
      </c>
    </row>
    <row r="319" spans="1:1" x14ac:dyDescent="0.25">
      <c r="A319">
        <f ca="1">Triangular(B2, B3, B4)</f>
        <v>83.933228745213952</v>
      </c>
    </row>
    <row r="320" spans="1:1" x14ac:dyDescent="0.25">
      <c r="A320">
        <f ca="1">Triangular(B2, B3, B4)</f>
        <v>61.913142558039034</v>
      </c>
    </row>
    <row r="321" spans="1:1" x14ac:dyDescent="0.25">
      <c r="A321">
        <f ca="1">Triangular(B2, B3, B4)</f>
        <v>36.2330181046635</v>
      </c>
    </row>
    <row r="322" spans="1:1" x14ac:dyDescent="0.25">
      <c r="A322">
        <f ca="1">Triangular(B2, B3, B4)</f>
        <v>69.690273209404197</v>
      </c>
    </row>
    <row r="323" spans="1:1" x14ac:dyDescent="0.25">
      <c r="A323">
        <f ca="1">Triangular(B2, B3, B4)</f>
        <v>42.528672822939633</v>
      </c>
    </row>
    <row r="324" spans="1:1" x14ac:dyDescent="0.25">
      <c r="A324">
        <f ca="1">Triangular(B2, B3, B4)</f>
        <v>90.402576714852344</v>
      </c>
    </row>
    <row r="325" spans="1:1" x14ac:dyDescent="0.25">
      <c r="A325">
        <f ca="1">Triangular(B2, B3, B4)</f>
        <v>41.979553506964997</v>
      </c>
    </row>
    <row r="326" spans="1:1" x14ac:dyDescent="0.25">
      <c r="A326">
        <f ca="1">Triangular(B2, B3, B4)</f>
        <v>29.702628148512776</v>
      </c>
    </row>
    <row r="327" spans="1:1" x14ac:dyDescent="0.25">
      <c r="A327">
        <f ca="1">Triangular(B2, B3, B4)</f>
        <v>87.527725115643932</v>
      </c>
    </row>
    <row r="328" spans="1:1" x14ac:dyDescent="0.25">
      <c r="A328">
        <f ca="1">Triangular(B2, B3, B4)</f>
        <v>79.550291742515142</v>
      </c>
    </row>
    <row r="329" spans="1:1" x14ac:dyDescent="0.25">
      <c r="A329">
        <f ca="1">Triangular(B2, B3, B4)</f>
        <v>74.393890491352096</v>
      </c>
    </row>
    <row r="330" spans="1:1" x14ac:dyDescent="0.25">
      <c r="A330">
        <f ca="1">Triangular(B2, B3, B4)</f>
        <v>84.964675059859758</v>
      </c>
    </row>
    <row r="331" spans="1:1" x14ac:dyDescent="0.25">
      <c r="A331">
        <f ca="1">Triangular(B2, B3, B4)</f>
        <v>45.810714835757615</v>
      </c>
    </row>
    <row r="332" spans="1:1" x14ac:dyDescent="0.25">
      <c r="A332">
        <f ca="1">Triangular(B2, B3, B4)</f>
        <v>67.649554552137189</v>
      </c>
    </row>
    <row r="333" spans="1:1" x14ac:dyDescent="0.25">
      <c r="A333">
        <f ca="1">Triangular(B2, B3, B4)</f>
        <v>71.533908302484008</v>
      </c>
    </row>
    <row r="334" spans="1:1" x14ac:dyDescent="0.25">
      <c r="A334">
        <f ca="1">Triangular(B2, B3, B4)</f>
        <v>59.424066362707272</v>
      </c>
    </row>
    <row r="335" spans="1:1" x14ac:dyDescent="0.25">
      <c r="A335">
        <f ca="1">Triangular(B2, B3, B4)</f>
        <v>65.652966905487517</v>
      </c>
    </row>
    <row r="336" spans="1:1" x14ac:dyDescent="0.25">
      <c r="A336">
        <f ca="1">Triangular(B2, B3, B4)</f>
        <v>62.851326419080557</v>
      </c>
    </row>
    <row r="337" spans="1:1" x14ac:dyDescent="0.25">
      <c r="A337">
        <f ca="1">Triangular(B2, B3, B4)</f>
        <v>39.704575331660415</v>
      </c>
    </row>
    <row r="338" spans="1:1" x14ac:dyDescent="0.25">
      <c r="A338">
        <f ca="1">Triangular(B2, B3, B4)</f>
        <v>93.387207103358293</v>
      </c>
    </row>
    <row r="339" spans="1:1" x14ac:dyDescent="0.25">
      <c r="A339">
        <f ca="1">Triangular(B2, B3, B4)</f>
        <v>95.148907228072403</v>
      </c>
    </row>
    <row r="340" spans="1:1" x14ac:dyDescent="0.25">
      <c r="A340">
        <f ca="1">Triangular(B2, B3, B4)</f>
        <v>85.933880699518824</v>
      </c>
    </row>
    <row r="341" spans="1:1" x14ac:dyDescent="0.25">
      <c r="A341">
        <f ca="1">Triangular(B2, B3, B4)</f>
        <v>48.582503533546351</v>
      </c>
    </row>
    <row r="342" spans="1:1" x14ac:dyDescent="0.25">
      <c r="A342">
        <f ca="1">Triangular(B2, B3, B4)</f>
        <v>48.035748711428162</v>
      </c>
    </row>
    <row r="343" spans="1:1" x14ac:dyDescent="0.25">
      <c r="A343">
        <f ca="1">Triangular(B2, B3, B4)</f>
        <v>26.516981059643122</v>
      </c>
    </row>
    <row r="344" spans="1:1" x14ac:dyDescent="0.25">
      <c r="A344">
        <f ca="1">Triangular(B2, B3, B4)</f>
        <v>63.26812640087212</v>
      </c>
    </row>
    <row r="345" spans="1:1" x14ac:dyDescent="0.25">
      <c r="A345">
        <f ca="1">Triangular(B2, B3, B4)</f>
        <v>49.719843264921359</v>
      </c>
    </row>
    <row r="346" spans="1:1" x14ac:dyDescent="0.25">
      <c r="A346">
        <f ca="1">Triangular(B2, B3, B4)</f>
        <v>79.644355889688882</v>
      </c>
    </row>
    <row r="347" spans="1:1" x14ac:dyDescent="0.25">
      <c r="A347">
        <f ca="1">Triangular(B2, B3, B4)</f>
        <v>62.895597462786228</v>
      </c>
    </row>
    <row r="348" spans="1:1" x14ac:dyDescent="0.25">
      <c r="A348">
        <f ca="1">Triangular(B2, B3, B4)</f>
        <v>60.088339085327618</v>
      </c>
    </row>
    <row r="349" spans="1:1" x14ac:dyDescent="0.25">
      <c r="A349">
        <f ca="1">Triangular(B2, B3, B4)</f>
        <v>79.894536014924483</v>
      </c>
    </row>
    <row r="350" spans="1:1" x14ac:dyDescent="0.25">
      <c r="A350">
        <f ca="1">Triangular(B2, B3, B4)</f>
        <v>61.958094965079106</v>
      </c>
    </row>
    <row r="351" spans="1:1" x14ac:dyDescent="0.25">
      <c r="A351">
        <f ca="1">Triangular(B2, B3, B4)</f>
        <v>85.308401476721826</v>
      </c>
    </row>
    <row r="352" spans="1:1" x14ac:dyDescent="0.25">
      <c r="A352">
        <f ca="1">Triangular(B2, B3, B4)</f>
        <v>44.273083257869501</v>
      </c>
    </row>
    <row r="353" spans="1:1" x14ac:dyDescent="0.25">
      <c r="A353">
        <f ca="1">Triangular(B2, B3, B4)</f>
        <v>61.268985811836544</v>
      </c>
    </row>
    <row r="354" spans="1:1" x14ac:dyDescent="0.25">
      <c r="A354">
        <f ca="1">Triangular(B2, B3, B4)</f>
        <v>76.978415776182217</v>
      </c>
    </row>
    <row r="355" spans="1:1" x14ac:dyDescent="0.25">
      <c r="A355">
        <f ca="1">Triangular(B2, B3, B4)</f>
        <v>71.954501994484559</v>
      </c>
    </row>
    <row r="356" spans="1:1" x14ac:dyDescent="0.25">
      <c r="A356">
        <f ca="1">Triangular(B2, B3, B4)</f>
        <v>28.247589995615964</v>
      </c>
    </row>
    <row r="357" spans="1:1" x14ac:dyDescent="0.25">
      <c r="A357">
        <f ca="1">Triangular(B2, B3, B4)</f>
        <v>38.105336465428088</v>
      </c>
    </row>
    <row r="358" spans="1:1" x14ac:dyDescent="0.25">
      <c r="A358">
        <f ca="1">Triangular(B2, B3, B4)</f>
        <v>61.532275325616723</v>
      </c>
    </row>
    <row r="359" spans="1:1" x14ac:dyDescent="0.25">
      <c r="A359">
        <f ca="1">Triangular(B2, B3, B4)</f>
        <v>40.621625035268664</v>
      </c>
    </row>
    <row r="360" spans="1:1" x14ac:dyDescent="0.25">
      <c r="A360">
        <f ca="1">Triangular(B2, B3, B4)</f>
        <v>73.864168041364593</v>
      </c>
    </row>
    <row r="361" spans="1:1" x14ac:dyDescent="0.25">
      <c r="A361">
        <f ca="1">Triangular(B2, B3, B4)</f>
        <v>54.502667108237098</v>
      </c>
    </row>
    <row r="362" spans="1:1" x14ac:dyDescent="0.25">
      <c r="A362">
        <f ca="1">Triangular(B2, B3, B4)</f>
        <v>45.086390041237166</v>
      </c>
    </row>
    <row r="363" spans="1:1" x14ac:dyDescent="0.25">
      <c r="A363">
        <f ca="1">Triangular(B2, B3, B4)</f>
        <v>85.865586860163361</v>
      </c>
    </row>
    <row r="364" spans="1:1" x14ac:dyDescent="0.25">
      <c r="A364">
        <f ca="1">Triangular(B2, B3, B4)</f>
        <v>36.519436238613942</v>
      </c>
    </row>
    <row r="365" spans="1:1" x14ac:dyDescent="0.25">
      <c r="A365">
        <f ca="1">Triangular(B2, B3, B4)</f>
        <v>84.70064213361195</v>
      </c>
    </row>
    <row r="366" spans="1:1" x14ac:dyDescent="0.25">
      <c r="A366">
        <f ca="1">Triangular(B2, B3, B4)</f>
        <v>61.005947190823811</v>
      </c>
    </row>
    <row r="367" spans="1:1" x14ac:dyDescent="0.25">
      <c r="A367">
        <f ca="1">Triangular(B2, B3, B4)</f>
        <v>53.341031676920672</v>
      </c>
    </row>
    <row r="368" spans="1:1" x14ac:dyDescent="0.25">
      <c r="A368">
        <f ca="1">Triangular(B2, B3, B4)</f>
        <v>72.627988126347802</v>
      </c>
    </row>
    <row r="369" spans="1:1" x14ac:dyDescent="0.25">
      <c r="A369">
        <f ca="1">Triangular(B2, B3, B4)</f>
        <v>69.964143581936042</v>
      </c>
    </row>
    <row r="370" spans="1:1" x14ac:dyDescent="0.25">
      <c r="A370">
        <f ca="1">Triangular(B2, B3, B4)</f>
        <v>83.136495691095334</v>
      </c>
    </row>
    <row r="371" spans="1:1" x14ac:dyDescent="0.25">
      <c r="A371">
        <f ca="1">Triangular(B2, B3, B4)</f>
        <v>38.559828120522383</v>
      </c>
    </row>
    <row r="372" spans="1:1" x14ac:dyDescent="0.25">
      <c r="A372">
        <f ca="1">Triangular(B2, B3, B4)</f>
        <v>79.363314899421951</v>
      </c>
    </row>
    <row r="373" spans="1:1" x14ac:dyDescent="0.25">
      <c r="A373">
        <f ca="1">Triangular(B2, B3, B4)</f>
        <v>75.174381055457758</v>
      </c>
    </row>
    <row r="374" spans="1:1" x14ac:dyDescent="0.25">
      <c r="A374">
        <f ca="1">Triangular(B2, B3, B4)</f>
        <v>24.942113308541717</v>
      </c>
    </row>
    <row r="375" spans="1:1" x14ac:dyDescent="0.25">
      <c r="A375">
        <f ca="1">Triangular(B2, B3, B4)</f>
        <v>39.21445649485122</v>
      </c>
    </row>
    <row r="376" spans="1:1" x14ac:dyDescent="0.25">
      <c r="A376">
        <f ca="1">Triangular(B2, B3, B4)</f>
        <v>52.785983600209782</v>
      </c>
    </row>
    <row r="377" spans="1:1" x14ac:dyDescent="0.25">
      <c r="A377">
        <f ca="1">Triangular(B2, B3, B4)</f>
        <v>74.080940996128632</v>
      </c>
    </row>
    <row r="378" spans="1:1" x14ac:dyDescent="0.25">
      <c r="A378">
        <f ca="1">Triangular(B2, B3, B4)</f>
        <v>61.319260312732922</v>
      </c>
    </row>
    <row r="379" spans="1:1" x14ac:dyDescent="0.25">
      <c r="A379">
        <f ca="1">Triangular(B2, B3, B4)</f>
        <v>36.442233919906137</v>
      </c>
    </row>
    <row r="380" spans="1:1" x14ac:dyDescent="0.25">
      <c r="A380">
        <f ca="1">Triangular(B2, B3, B4)</f>
        <v>51.521383412175062</v>
      </c>
    </row>
    <row r="381" spans="1:1" x14ac:dyDescent="0.25">
      <c r="A381">
        <f ca="1">Triangular(B2, B3, B4)</f>
        <v>48.856589823803276</v>
      </c>
    </row>
    <row r="382" spans="1:1" x14ac:dyDescent="0.25">
      <c r="A382">
        <f ca="1">Triangular(B2, B3, B4)</f>
        <v>11.874153942871796</v>
      </c>
    </row>
    <row r="383" spans="1:1" x14ac:dyDescent="0.25">
      <c r="A383">
        <f ca="1">Triangular(B2, B3, B4)</f>
        <v>55.101069905486419</v>
      </c>
    </row>
    <row r="384" spans="1:1" x14ac:dyDescent="0.25">
      <c r="A384">
        <f ca="1">Triangular(B2, B3, B4)</f>
        <v>64.596900083518079</v>
      </c>
    </row>
    <row r="385" spans="1:1" x14ac:dyDescent="0.25">
      <c r="A385">
        <f ca="1">Triangular(B2, B3, B4)</f>
        <v>69.920175464823132</v>
      </c>
    </row>
    <row r="386" spans="1:1" x14ac:dyDescent="0.25">
      <c r="A386">
        <f ca="1">Triangular(B2, B3, B4)</f>
        <v>43.433029152085702</v>
      </c>
    </row>
    <row r="387" spans="1:1" x14ac:dyDescent="0.25">
      <c r="A387">
        <f ca="1">Triangular(B2, B3, B4)</f>
        <v>68.329853760273522</v>
      </c>
    </row>
    <row r="388" spans="1:1" x14ac:dyDescent="0.25">
      <c r="A388">
        <f ca="1">Triangular(B2, B3, B4)</f>
        <v>80.09506622785419</v>
      </c>
    </row>
    <row r="389" spans="1:1" x14ac:dyDescent="0.25">
      <c r="A389">
        <f ca="1">Triangular(B2, B3, B4)</f>
        <v>48.033954799220517</v>
      </c>
    </row>
    <row r="390" spans="1:1" x14ac:dyDescent="0.25">
      <c r="A390">
        <f ca="1">Triangular(B2, B3, B4)</f>
        <v>48.915554341245652</v>
      </c>
    </row>
    <row r="391" spans="1:1" x14ac:dyDescent="0.25">
      <c r="A391">
        <f ca="1">Triangular(B2, B3, B4)</f>
        <v>86.706893648091338</v>
      </c>
    </row>
    <row r="392" spans="1:1" x14ac:dyDescent="0.25">
      <c r="A392">
        <f ca="1">Triangular(B2, B3, B4)</f>
        <v>24.56032666698994</v>
      </c>
    </row>
    <row r="393" spans="1:1" x14ac:dyDescent="0.25">
      <c r="A393">
        <f ca="1">Triangular(B2, B3, B4)</f>
        <v>65.538513689209367</v>
      </c>
    </row>
    <row r="394" spans="1:1" x14ac:dyDescent="0.25">
      <c r="A394">
        <f ca="1">Triangular(B2, B3, B4)</f>
        <v>86.879098442192827</v>
      </c>
    </row>
    <row r="395" spans="1:1" x14ac:dyDescent="0.25">
      <c r="A395">
        <f ca="1">Triangular(B2, B3, B4)</f>
        <v>85.375553948549609</v>
      </c>
    </row>
    <row r="396" spans="1:1" x14ac:dyDescent="0.25">
      <c r="A396">
        <f ca="1">Triangular(B2, B3, B4)</f>
        <v>83.589266490487972</v>
      </c>
    </row>
    <row r="397" spans="1:1" x14ac:dyDescent="0.25">
      <c r="A397">
        <f ca="1">Triangular(B2, B3, B4)</f>
        <v>46.222953486991763</v>
      </c>
    </row>
    <row r="398" spans="1:1" x14ac:dyDescent="0.25">
      <c r="A398">
        <f ca="1">Triangular(B2, B3, B4)</f>
        <v>76.122178804246715</v>
      </c>
    </row>
    <row r="399" spans="1:1" x14ac:dyDescent="0.25">
      <c r="A399">
        <f ca="1">Triangular(B2, B3, B4)</f>
        <v>89.50724589499427</v>
      </c>
    </row>
    <row r="400" spans="1:1" x14ac:dyDescent="0.25">
      <c r="A400">
        <f ca="1">Triangular(B2, B3, B4)</f>
        <v>72.406804511256524</v>
      </c>
    </row>
    <row r="401" spans="1:1" x14ac:dyDescent="0.25">
      <c r="A401">
        <f ca="1">Triangular(B2, B3, B4)</f>
        <v>61.580938563170612</v>
      </c>
    </row>
    <row r="402" spans="1:1" x14ac:dyDescent="0.25">
      <c r="A402">
        <f ca="1">Triangular(B2, B3, B4)</f>
        <v>15.396677409497643</v>
      </c>
    </row>
    <row r="403" spans="1:1" x14ac:dyDescent="0.25">
      <c r="A403">
        <f ca="1">Triangular(B2, B3, B4)</f>
        <v>40.721758148547273</v>
      </c>
    </row>
    <row r="404" spans="1:1" x14ac:dyDescent="0.25">
      <c r="A404">
        <f ca="1">Triangular(B2, B3, B4)</f>
        <v>48.17905056632933</v>
      </c>
    </row>
    <row r="405" spans="1:1" x14ac:dyDescent="0.25">
      <c r="A405">
        <f ca="1">Triangular(B2, B3, B4)</f>
        <v>82.476826003512855</v>
      </c>
    </row>
    <row r="406" spans="1:1" x14ac:dyDescent="0.25">
      <c r="A406">
        <f ca="1">Triangular(B2, B3, B4)</f>
        <v>55.258133858044211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viewUserform">
                <anchor moveWithCells="1" sizeWithCells="1">
                  <from>
                    <xdr:col>4</xdr:col>
                    <xdr:colOff>0</xdr:colOff>
                    <xdr:row>22</xdr:row>
                    <xdr:rowOff>9525</xdr:rowOff>
                  </from>
                  <to>
                    <xdr:col>7</xdr:col>
                    <xdr:colOff>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FF7CD-D553-48F7-858E-0C4795E6BFF8}">
  <sheetPr codeName="Sheet3"/>
  <dimension ref="A1:B11"/>
  <sheetViews>
    <sheetView workbookViewId="0">
      <selection activeCell="C29" sqref="C29"/>
    </sheetView>
  </sheetViews>
  <sheetFormatPr defaultRowHeight="15" x14ac:dyDescent="0.25"/>
  <cols>
    <col min="1" max="2" width="12.7109375" customWidth="1"/>
  </cols>
  <sheetData>
    <row r="1" spans="1:2" x14ac:dyDescent="0.25">
      <c r="A1" s="2" t="s">
        <v>4</v>
      </c>
      <c r="B1" s="2" t="s">
        <v>5</v>
      </c>
    </row>
    <row r="2" spans="1:2" x14ac:dyDescent="0.25">
      <c r="A2" s="3">
        <v>10</v>
      </c>
      <c r="B2" s="3">
        <f ca="1">COUNTIFS(Results!A7:A106, "&lt;=10")</f>
        <v>1</v>
      </c>
    </row>
    <row r="3" spans="1:2" x14ac:dyDescent="0.25">
      <c r="A3" s="3">
        <v>20</v>
      </c>
      <c r="B3" s="3">
        <f ca="1">COUNTIFS(Results!A7:A106, "&gt;10", Results!A7:A106, "&lt;=20")</f>
        <v>5</v>
      </c>
    </row>
    <row r="4" spans="1:2" x14ac:dyDescent="0.25">
      <c r="A4" s="3">
        <v>30</v>
      </c>
      <c r="B4" s="3">
        <f ca="1">COUNTIFS(Results!A8:A107, "&gt;20", Results!A8:A107, "&lt;=30")</f>
        <v>3</v>
      </c>
    </row>
    <row r="5" spans="1:2" x14ac:dyDescent="0.25">
      <c r="A5" s="3">
        <v>40</v>
      </c>
      <c r="B5" s="3">
        <f ca="1">COUNTIFS(Results!A9:A108, "&gt;30", Results!A9:A108, "&lt;=40")</f>
        <v>8</v>
      </c>
    </row>
    <row r="6" spans="1:2" x14ac:dyDescent="0.25">
      <c r="A6" s="3">
        <v>50</v>
      </c>
      <c r="B6" s="3">
        <f ca="1">COUNTIFS(Results!A10:A109, "&gt;40", Results!A10:A109, "&lt;=50")</f>
        <v>10</v>
      </c>
    </row>
    <row r="7" spans="1:2" x14ac:dyDescent="0.25">
      <c r="A7" s="3">
        <v>60</v>
      </c>
      <c r="B7" s="3">
        <f ca="1">COUNTIFS(Results!A11:A110, "&gt;50", Results!A11:A110, "&lt;=60")</f>
        <v>12</v>
      </c>
    </row>
    <row r="8" spans="1:2" x14ac:dyDescent="0.25">
      <c r="A8" s="3">
        <v>70</v>
      </c>
      <c r="B8" s="3">
        <f ca="1">COUNTIFS(Results!A12:A111, "&gt;60", Results!A12:A111, "&lt;=70")</f>
        <v>11</v>
      </c>
    </row>
    <row r="9" spans="1:2" x14ac:dyDescent="0.25">
      <c r="A9" s="3">
        <v>80</v>
      </c>
      <c r="B9" s="3">
        <f ca="1">COUNTIFS(Results!A13:A112, "&gt;70", Results!A13:A112, "&lt;=80")</f>
        <v>24</v>
      </c>
    </row>
    <row r="10" spans="1:2" x14ac:dyDescent="0.25">
      <c r="A10" s="3">
        <v>90</v>
      </c>
      <c r="B10" s="3">
        <f ca="1">COUNTIFS(Results!A14:A113, "&gt;80", Results!A14:A113, "&lt;=90")</f>
        <v>22</v>
      </c>
    </row>
    <row r="11" spans="1:2" x14ac:dyDescent="0.25">
      <c r="A11" s="3">
        <v>100</v>
      </c>
      <c r="B11" s="3">
        <f ca="1">COUNTIFS(Results!A15:A114, "&gt;90", Results!A15:A114, "&lt;=100")</f>
        <v>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552178-c519-4bb9-888e-4b5d972b63f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97B77616BCF4ABF2A1F3E8E1A0380" ma:contentTypeVersion="9" ma:contentTypeDescription="Create a new document." ma:contentTypeScope="" ma:versionID="925da58df6ad7c59ff8d321a1ddff2bb">
  <xsd:schema xmlns:xsd="http://www.w3.org/2001/XMLSchema" xmlns:xs="http://www.w3.org/2001/XMLSchema" xmlns:p="http://schemas.microsoft.com/office/2006/metadata/properties" xmlns:ns3="a3552178-c519-4bb9-888e-4b5d972b63f4" xmlns:ns4="acd64606-9f06-4905-9686-55adfb922b01" targetNamespace="http://schemas.microsoft.com/office/2006/metadata/properties" ma:root="true" ma:fieldsID="a0f3ddac5bdf05fb1e011efcd41ed6b9" ns3:_="" ns4:_="">
    <xsd:import namespace="a3552178-c519-4bb9-888e-4b5d972b63f4"/>
    <xsd:import namespace="acd64606-9f06-4905-9686-55adfb922b01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552178-c519-4bb9-888e-4b5d972b63f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64606-9f06-4905-9686-55adfb922b01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86AC23-2797-447B-A0C2-06E8F89108E9}">
  <ds:schemaRefs>
    <ds:schemaRef ds:uri="acd64606-9f06-4905-9686-55adfb922b01"/>
    <ds:schemaRef ds:uri="http://purl.org/dc/dcmitype/"/>
    <ds:schemaRef ds:uri="http://www.w3.org/XML/1998/namespace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a3552178-c519-4bb9-888e-4b5d972b63f4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7DBBC6-CEE2-4065-88C0-85BF0769AE4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250225-4897-4BB4-A388-8143BB139C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552178-c519-4bb9-888e-4b5d972b63f4"/>
    <ds:schemaRef ds:uri="acd64606-9f06-4905-9686-55adfb922b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Results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Sushant Sah</dc:creator>
  <cp:lastModifiedBy>Sushant Sah</cp:lastModifiedBy>
  <dcterms:created xsi:type="dcterms:W3CDTF">2025-03-07T00:17:47Z</dcterms:created>
  <dcterms:modified xsi:type="dcterms:W3CDTF">2025-03-07T05:02:51Z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0x010100E9A97B77616BCF4ABF2A1F3E8E1A0380</vt:lpwstr>
  </property>
</Properties>
</file>